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My Drive\Dev\Arduino\DC34_Cnet_Badge\Private\"/>
    </mc:Choice>
  </mc:AlternateContent>
  <xr:revisionPtr revIDLastSave="0" documentId="13_ncr:1_{5B6A6E7B-E737-4518-8602-9109F1B92C5B}" xr6:coauthVersionLast="47" xr6:coauthVersionMax="47" xr10:uidLastSave="{00000000-0000-0000-0000-000000000000}"/>
  <bookViews>
    <workbookView xWindow="15285" yWindow="2085" windowWidth="28155" windowHeight="18390" xr2:uid="{00000000-000D-0000-FFFF-FFFF00000000}"/>
  </bookViews>
  <sheets>
    <sheet name="DC34_Cnet_Badge" sheetId="1" r:id="rId1"/>
    <sheet name="DC34_Cnet_Badge - Alt LED" sheetId="5" r:id="rId2"/>
    <sheet name="DC34_Cnet_SAO" sheetId="3" r:id="rId3"/>
    <sheet name="DC34_Cnet_SAO - Alt LED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3" l="1"/>
  <c r="C2" i="3" s="1"/>
  <c r="G2" i="4"/>
  <c r="G2" i="1"/>
  <c r="C2" i="1" s="1"/>
  <c r="C4" i="3"/>
  <c r="C5" i="3"/>
  <c r="C6" i="3"/>
  <c r="C7" i="3"/>
  <c r="C2" i="4"/>
  <c r="D2" i="4" s="1"/>
  <c r="C5" i="4"/>
  <c r="C6" i="4"/>
  <c r="C4" i="4"/>
  <c r="H18" i="5"/>
  <c r="I18" i="5" s="1"/>
  <c r="C18" i="5"/>
  <c r="D18" i="5" s="1"/>
  <c r="H17" i="5"/>
  <c r="I17" i="5" s="1"/>
  <c r="C17" i="5"/>
  <c r="D17" i="5" s="1"/>
  <c r="H16" i="5"/>
  <c r="I16" i="5" s="1"/>
  <c r="C16" i="5"/>
  <c r="D16" i="5" s="1"/>
  <c r="H15" i="5"/>
  <c r="I15" i="5" s="1"/>
  <c r="C15" i="5"/>
  <c r="D15" i="5" s="1"/>
  <c r="H13" i="5"/>
  <c r="I13" i="5" s="1"/>
  <c r="D13" i="5"/>
  <c r="C13" i="5"/>
  <c r="H12" i="5"/>
  <c r="I12" i="5" s="1"/>
  <c r="C12" i="5"/>
  <c r="D12" i="5" s="1"/>
  <c r="H11" i="5"/>
  <c r="I11" i="5" s="1"/>
  <c r="C11" i="5"/>
  <c r="D11" i="5" s="1"/>
  <c r="H10" i="5"/>
  <c r="I10" i="5" s="1"/>
  <c r="C10" i="5"/>
  <c r="D10" i="5" s="1"/>
  <c r="H9" i="5"/>
  <c r="I9" i="5" s="1"/>
  <c r="C9" i="5"/>
  <c r="D9" i="5" s="1"/>
  <c r="H8" i="5"/>
  <c r="I8" i="5" s="1"/>
  <c r="D8" i="5"/>
  <c r="C8" i="5"/>
  <c r="H7" i="5"/>
  <c r="I7" i="5" s="1"/>
  <c r="C7" i="5"/>
  <c r="D7" i="5" s="1"/>
  <c r="H6" i="5"/>
  <c r="I6" i="5" s="1"/>
  <c r="C6" i="5"/>
  <c r="D6" i="5" s="1"/>
  <c r="H5" i="5"/>
  <c r="I5" i="5" s="1"/>
  <c r="C5" i="5"/>
  <c r="D5" i="5" s="1"/>
  <c r="H4" i="5"/>
  <c r="I4" i="5" s="1"/>
  <c r="C4" i="5"/>
  <c r="D4" i="5" s="1"/>
  <c r="H2" i="5"/>
  <c r="C2" i="5"/>
  <c r="D2" i="5" s="1"/>
  <c r="H6" i="4"/>
  <c r="I6" i="4" s="1"/>
  <c r="D6" i="4"/>
  <c r="H5" i="4"/>
  <c r="I5" i="4" s="1"/>
  <c r="D5" i="4"/>
  <c r="H4" i="4"/>
  <c r="I4" i="4" s="1"/>
  <c r="D4" i="4"/>
  <c r="H2" i="4"/>
  <c r="H7" i="3"/>
  <c r="I7" i="3" s="1"/>
  <c r="D7" i="3"/>
  <c r="H6" i="3"/>
  <c r="I6" i="3" s="1"/>
  <c r="D6" i="3"/>
  <c r="H5" i="3"/>
  <c r="I5" i="3" s="1"/>
  <c r="D5" i="3"/>
  <c r="H4" i="3"/>
  <c r="I4" i="3" s="1"/>
  <c r="D4" i="3"/>
  <c r="H2" i="3"/>
  <c r="H18" i="1"/>
  <c r="I18" i="1" s="1"/>
  <c r="H17" i="1"/>
  <c r="I17" i="1" s="1"/>
  <c r="H16" i="1"/>
  <c r="I16" i="1" s="1"/>
  <c r="H15" i="1"/>
  <c r="I15" i="1" s="1"/>
  <c r="H13" i="1"/>
  <c r="I13" i="1" s="1"/>
  <c r="H12" i="1"/>
  <c r="I12" i="1" s="1"/>
  <c r="H11" i="1"/>
  <c r="I11" i="1" s="1"/>
  <c r="H10" i="1"/>
  <c r="I10" i="1" s="1"/>
  <c r="H9" i="1"/>
  <c r="I9" i="1" s="1"/>
  <c r="H8" i="1"/>
  <c r="I8" i="1" s="1"/>
  <c r="H7" i="1"/>
  <c r="I7" i="1" s="1"/>
  <c r="H6" i="1"/>
  <c r="I6" i="1" s="1"/>
  <c r="H5" i="1"/>
  <c r="I5" i="1" s="1"/>
  <c r="H4" i="1"/>
  <c r="I4" i="1" s="1"/>
  <c r="H2" i="1"/>
  <c r="C4" i="1"/>
  <c r="C5" i="1"/>
  <c r="C6" i="1"/>
  <c r="C7" i="1"/>
  <c r="C8" i="1"/>
  <c r="C9" i="1"/>
  <c r="C10" i="1"/>
  <c r="C11" i="1"/>
  <c r="C12" i="1"/>
  <c r="C13" i="1"/>
  <c r="C15" i="1"/>
  <c r="C16" i="1"/>
  <c r="C17" i="1"/>
  <c r="C18" i="1"/>
  <c r="I21" i="5" l="1"/>
  <c r="D21" i="5"/>
  <c r="D23" i="5" s="1"/>
  <c r="D9" i="4"/>
  <c r="D11" i="4" s="1"/>
  <c r="I9" i="4"/>
  <c r="I10" i="3"/>
  <c r="D2" i="3"/>
  <c r="D10" i="3" s="1"/>
  <c r="D12" i="3" s="1"/>
  <c r="I21" i="1"/>
  <c r="D8" i="1"/>
  <c r="D13" i="1"/>
  <c r="D5" i="1"/>
  <c r="D6" i="1"/>
  <c r="D7" i="1"/>
  <c r="D9" i="1"/>
  <c r="D11" i="1"/>
  <c r="D10" i="1"/>
  <c r="D12" i="1"/>
  <c r="D15" i="1"/>
  <c r="D17" i="1"/>
  <c r="D18" i="1"/>
  <c r="D2" i="1"/>
  <c r="D21" i="1" s="1"/>
  <c r="D16" i="1"/>
  <c r="D4" i="1"/>
  <c r="D23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tc={63B304A3-4F7D-4B33-BA03-0DD91D288F2E}</author>
  </authors>
  <commentList>
    <comment ref="D2" authorId="0" shapeId="0" xr:uid="{63B304A3-4F7D-4B33-BA03-0DD91D288F2E}">
      <text>
        <t>[Threaded comment]
Your version of Excel allows you to read this threaded comment; however, any edits to it will get removed if the file is opened in a newer version of Excel. Learn more: https://go.microsoft.com/fwlink/?linkid=870924
Comment:
    44% Duty &amp; Tax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tc={2428E3BB-DB34-4D76-B7A6-FAF80E221492}</author>
  </authors>
  <commentList>
    <comment ref="D2" authorId="0" shapeId="0" xr:uid="{2428E3BB-DB34-4D76-B7A6-FAF80E221492}">
      <text>
        <t>[Threaded comment]
Your version of Excel allows you to read this threaded comment; however, any edits to it will get removed if the file is opened in a newer version of Excel. Learn more: https://go.microsoft.com/fwlink/?linkid=870924
Comment:
    44% Duty &amp; Tax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tc={4EACCE40-934D-4C5B-AFC0-384609DB54BB}</author>
  </authors>
  <commentList>
    <comment ref="D2" authorId="0" shapeId="0" xr:uid="{4EACCE40-934D-4C5B-AFC0-384609DB54BB}">
      <text>
        <t>[Threaded comment]
Your version of Excel allows you to read this threaded comment; however, any edits to it will get removed if the file is opened in a newer version of Excel. Learn more: https://go.microsoft.com/fwlink/?linkid=870924
Comment:
    44% Duty &amp; Tax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tc={382ED950-B352-4F40-8692-5916D8FFDE63}</author>
  </authors>
  <commentList>
    <comment ref="D2" authorId="0" shapeId="0" xr:uid="{382ED950-B352-4F40-8692-5916D8FFDE63}">
      <text>
        <t>[Threaded comment]
Your version of Excel allows you to read this threaded comment; however, any edits to it will get removed if the file is opened in a newer version of Excel. Learn more: https://go.microsoft.com/fwlink/?linkid=870924
Comment:
    44% Duty &amp; Tax</t>
      </text>
    </comment>
  </commentList>
</comments>
</file>

<file path=xl/sharedStrings.xml><?xml version="1.0" encoding="utf-8"?>
<sst xmlns="http://schemas.openxmlformats.org/spreadsheetml/2006/main" count="173" uniqueCount="54">
  <si>
    <t>Part</t>
  </si>
  <si>
    <t>Supplier</t>
  </si>
  <si>
    <t>PCB</t>
  </si>
  <si>
    <t>PCBWay</t>
  </si>
  <si>
    <t>Unit Cost</t>
  </si>
  <si>
    <t>Amazon</t>
  </si>
  <si>
    <t>https://www.pcbway.com/QuickOrderOnline.aspx</t>
  </si>
  <si>
    <t>SAO Header</t>
  </si>
  <si>
    <t>https://www.digikey.com/en/products/detail/sullins-connector-solutions/SFH11-NBPC-D03-ST-BK/4558818</t>
  </si>
  <si>
    <t>DigiKey</t>
  </si>
  <si>
    <t>Static Bag</t>
  </si>
  <si>
    <t>Switch</t>
  </si>
  <si>
    <t>Cost Per Badge</t>
  </si>
  <si>
    <t>SD Card</t>
  </si>
  <si>
    <t>ESP32</t>
  </si>
  <si>
    <t>https://www.amazon.com/dp/B0D8T53CQ5/?coliid=I3VJO6C85UICKN&amp;colid=12Q39W8V03L12&amp;psc=1&amp;ref_=list_c_wl_lv_ov_lig_dp_it</t>
  </si>
  <si>
    <t>SD Card Reader</t>
  </si>
  <si>
    <t>https://www.amazon.com/dp/B0BV8ZQ81F/?coliid=I10OQA73D14EXB&amp;colid=12Q39W8V03L12&amp;psc=1&amp;ref_=list_c_wl_lv_ov_lig_dp_it</t>
  </si>
  <si>
    <t>RFID Reader</t>
  </si>
  <si>
    <t>Display</t>
  </si>
  <si>
    <t>RFID Tags</t>
  </si>
  <si>
    <t>https://www.amazon.com/dp/B0CMXHWTYH/?coliid=I1O4MENNAUG3KH&amp;colid=12Q39W8V03L12&amp;psc=1&amp;ref_=list_c_wl_lv_ov_lig_dp_it</t>
  </si>
  <si>
    <t>https://www.digikey.com/en/products/detail/w%C3%BCrth-elektronik/61200621621/4846913</t>
  </si>
  <si>
    <t>https://www.digikey.com/en/products/detail/sparkfun-electronics/11448/5673782</t>
  </si>
  <si>
    <t>https://www.digikey.com/en/products/detail/sparkfun-electronics/11449/5673783</t>
  </si>
  <si>
    <t>https://www.digikey.com/en/products/detail/scs/30035/3430456</t>
  </si>
  <si>
    <t>4x AAA Battery Holder</t>
  </si>
  <si>
    <t>4x AAA Batteries</t>
  </si>
  <si>
    <t>Schottky Diode Diode</t>
  </si>
  <si>
    <t>https://www.digikey.com/en/products/detail/nidec-components/CL-SB-22C-11/3507850</t>
  </si>
  <si>
    <t>https://www.digikey.com/en/products/detail/scs/3001012/1621604</t>
  </si>
  <si>
    <t>https://www.amazon.com/dp/B079KDQQPD/?coliid=IDH1L3DI3CNBL&amp;colid=12Q39W8V03L12&amp;psc=1&amp;ref_=list_c_wl_lv_ov_lig_dp_it</t>
  </si>
  <si>
    <t>https://www.amazon.com/dp/B0DCBM8KV1/?coliid=I3OQX6ILNUIJUC&amp;colid=12Q39W8V03L12&amp;psc=1&amp;ref_=list_c_wl_lv_ov_lig_dp_it</t>
  </si>
  <si>
    <t>https://www.amazon.com/dp/B09P5WJWLN/?coliid=I1FBV7RBIW4U2T&amp;colid=12Q39W8V03L12&amp;psc=1&amp;ref_=list_c_wl_lv_ov_lig_dp_it</t>
  </si>
  <si>
    <t>https://www.amazon.com/dp/B01GVDGA5S/?coliid=IVPLVKM4NMG9N&amp;colid=12Q39W8V03L12&amp;psc=1&amp;ref_=list_c_wl_lv_ov_lig_dp_it</t>
  </si>
  <si>
    <t>https://www.amazon.com/dp/B0858FBL8V/?coliid=I2GIA4ELW55THL&amp;colid=12Q39W8V03L12&amp;psc=1&amp;ref_=list_c_wl_lv_ov_lig_dp_it</t>
  </si>
  <si>
    <t>Foam tape</t>
  </si>
  <si>
    <t>https://www.amazon.com/dp/B0CCS11XFL/?coliid=I3N0PGN9F5PV51&amp;colid=12Q39W8V03L12&amp;psc=1&amp;ref_=list_c_wl_lv_ov_lig_dp_it</t>
  </si>
  <si>
    <t>Extended Cost</t>
  </si>
  <si>
    <t>Order Qty</t>
  </si>
  <si>
    <t>https://www.amazon.com/dp/B01B8R6V2E/?coliid=I3C19CNAWGVTLF&amp;colid=12Q39W8V03L12&amp;psc=1&amp;ref_=list_c_wl_lv_ov_lig_dp_it</t>
  </si>
  <si>
    <t>Pack Qty</t>
  </si>
  <si>
    <t>Pack Cost</t>
  </si>
  <si>
    <t>Badge Qty</t>
  </si>
  <si>
    <t>Order Link</t>
  </si>
  <si>
    <t>Qty - Master</t>
  </si>
  <si>
    <t>Order Cost</t>
  </si>
  <si>
    <t>Total Order Cost</t>
  </si>
  <si>
    <t>Total BadgeCost</t>
  </si>
  <si>
    <t>Total SAO Cost</t>
  </si>
  <si>
    <t>https://www.digikey.com/en/products/detail/sparkfun-electronics/11450/5673784</t>
  </si>
  <si>
    <t>RGB LED - Slow Cycle - 5mm</t>
  </si>
  <si>
    <t>RGB LED - Slow Cycle - 3mm</t>
  </si>
  <si>
    <t>RGB LED - Fast Cycle - 3mm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</si>
</sst>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2" fillId="0" borderId="0" xfId="2"/>
    <xf numFmtId="44" fontId="0" fillId="0" borderId="0" xfId="1" applyFont="1"/>
    <xf numFmtId="0" fontId="2" fillId="0" borderId="0" xfId="2" applyFill="1"/>
    <xf numFmtId="1" fontId="0" fillId="0" borderId="0" xfId="1" applyNumberFormat="1" applyFont="1"/>
    <xf numFmtId="1" fontId="0" fillId="0" borderId="0" xfId="0" applyNumberFormat="1"/>
    <xf numFmtId="44" fontId="0" fillId="0" borderId="0" xfId="0" applyNumberFormat="1"/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ason Granat" id="{9775AD90-BCF0-447F-9730-3B57DA6B0927}" userId="S::jgranat@compunet.biz::817deef9-3421-4ecc-b869-5f282e788dfb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2" dT="2026-01-27T17:46:12.02" personId="{9775AD90-BCF0-447F-9730-3B57DA6B0927}" id="{63B304A3-4F7D-4B33-BA03-0DD91D288F2E}">
    <text>44% Duty &amp; Tax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2" dT="2026-01-27T17:46:12.02" personId="{9775AD90-BCF0-447F-9730-3B57DA6B0927}" id="{2428E3BB-DB34-4D76-B7A6-FAF80E221492}">
    <text>44% Duty &amp; Tax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D2" dT="2026-01-27T17:46:12.02" personId="{9775AD90-BCF0-447F-9730-3B57DA6B0927}" id="{4EACCE40-934D-4C5B-AFC0-384609DB54BB}">
    <text>44% Duty &amp; Tax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D2" dT="2026-01-27T17:46:12.02" personId="{9775AD90-BCF0-447F-9730-3B57DA6B0927}" id="{382ED950-B352-4F40-8692-5916D8FFDE63}">
    <text>44% Duty &amp; Tax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com/en/products/detail/sullins-connector-solutions/SFH11-NBPC-D03-ST-BK/4558818" TargetMode="External"/><Relationship Id="rId13" Type="http://schemas.openxmlformats.org/officeDocument/2006/relationships/hyperlink" Target="https://www.amazon.com/dp/B01B8R6V2E/?coliid=I3C19CNAWGVTLF&amp;colid=12Q39W8V03L12&amp;psc=1&amp;ref_=list_c_wl_lv_ov_lig_dp_it" TargetMode="External"/><Relationship Id="rId18" Type="http://schemas.openxmlformats.org/officeDocument/2006/relationships/comments" Target="../comments1.xml"/><Relationship Id="rId3" Type="http://schemas.openxmlformats.org/officeDocument/2006/relationships/hyperlink" Target="https://www.amazon.com/dp/B0BV8ZQ81F/?coliid=I10OQA73D14EXB&amp;colid=12Q39W8V03L12&amp;psc=1&amp;ref_=list_c_wl_lv_ov_lig_dp_it" TargetMode="External"/><Relationship Id="rId7" Type="http://schemas.openxmlformats.org/officeDocument/2006/relationships/hyperlink" Target="https://www.amazon.com/dp/B0CMXHWTYH/?coliid=I1O4MENNAUG3KH&amp;colid=12Q39W8V03L12&amp;psc=1&amp;ref_=list_c_wl_lv_ov_lig_dp_it" TargetMode="External"/><Relationship Id="rId12" Type="http://schemas.openxmlformats.org/officeDocument/2006/relationships/hyperlink" Target="https://www.digikey.com/en/products/detail/nidec-components/CL-SB-22C-11/3507850" TargetMode="External"/><Relationship Id="rId17" Type="http://schemas.openxmlformats.org/officeDocument/2006/relationships/vmlDrawing" Target="../drawings/vmlDrawing1.vml"/><Relationship Id="rId2" Type="http://schemas.openxmlformats.org/officeDocument/2006/relationships/hyperlink" Target="https://www.amazon.com/dp/B0D8T53CQ5/?coliid=I3VJO6C85UICKN&amp;colid=12Q39W8V03L12&amp;psc=1&amp;ref_=list_c_wl_lv_ov_lig_dp_it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s://www.pcbway.com/QuickOrderOnline.aspx" TargetMode="External"/><Relationship Id="rId6" Type="http://schemas.openxmlformats.org/officeDocument/2006/relationships/hyperlink" Target="https://www.amazon.com/dp/B0DCBM8KV1/?coliid=I3OQX6ILNUIJUC&amp;colid=12Q39W8V03L12&amp;psc=1&amp;ref_=list_c_wl_lv_ov_lig_dp_it" TargetMode="External"/><Relationship Id="rId11" Type="http://schemas.openxmlformats.org/officeDocument/2006/relationships/hyperlink" Target="https://www.amazon.com/dp/B079KDQQPD/?coliid=IDH1L3DI3CNBL&amp;colid=12Q39W8V03L12&amp;psc=1&amp;ref_=list_c_wl_lv_ov_lig_dp_it" TargetMode="External"/><Relationship Id="rId5" Type="http://schemas.openxmlformats.org/officeDocument/2006/relationships/hyperlink" Target="https://www.amazon.com/dp/B09P5WJWLN/?coliid=I1FBV7RBIW4U2T&amp;colid=12Q39W8V03L12&amp;psc=1&amp;ref_=list_c_wl_lv_ov_lig_dp_it" TargetMode="External"/><Relationship Id="rId15" Type="http://schemas.openxmlformats.org/officeDocument/2006/relationships/hyperlink" Target="https://www.amazon.com/dp/B0CCS11XFL/?coliid=I3N0PGN9F5PV51&amp;colid=12Q39W8V03L12&amp;psc=1&amp;ref_=list_c_wl_lv_ov_lig_dp_it" TargetMode="External"/><Relationship Id="rId10" Type="http://schemas.openxmlformats.org/officeDocument/2006/relationships/hyperlink" Target="https://www.digikey.com/en/products/detail/scs/3001012/1621604" TargetMode="External"/><Relationship Id="rId19" Type="http://schemas.microsoft.com/office/2017/10/relationships/threadedComment" Target="../threadedComments/threadedComment1.xml"/><Relationship Id="rId4" Type="http://schemas.openxmlformats.org/officeDocument/2006/relationships/hyperlink" Target="https://www.amazon.com/dp/B0858FBL8V/?coliid=I2GIA4ELW55THL&amp;colid=12Q39W8V03L12&amp;psc=1&amp;ref_=list_c_wl_lv_ov_lig_dp_it" TargetMode="External"/><Relationship Id="rId9" Type="http://schemas.openxmlformats.org/officeDocument/2006/relationships/hyperlink" Target="https://www.digikey.com/en/products/detail/sparkfun-electronics/11448/5673782" TargetMode="External"/><Relationship Id="rId14" Type="http://schemas.openxmlformats.org/officeDocument/2006/relationships/hyperlink" Target="https://www.amazon.com/dp/B01GVDGA5S/?coliid=IVPLVKM4NMG9N&amp;colid=12Q39W8V03L12&amp;psc=1&amp;ref_=list_c_wl_lv_ov_lig_dp_it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com/en/products/detail/sullins-connector-solutions/SFH11-NBPC-D03-ST-BK/4558818" TargetMode="External"/><Relationship Id="rId13" Type="http://schemas.openxmlformats.org/officeDocument/2006/relationships/hyperlink" Target="https://www.amazon.com/dp/B01B8R6V2E/?coliid=I3C19CNAWGVTLF&amp;colid=12Q39W8V03L12&amp;psc=1&amp;ref_=list_c_wl_lv_ov_lig_dp_it" TargetMode="External"/><Relationship Id="rId18" Type="http://schemas.openxmlformats.org/officeDocument/2006/relationships/comments" Target="../comments2.xml"/><Relationship Id="rId3" Type="http://schemas.openxmlformats.org/officeDocument/2006/relationships/hyperlink" Target="https://www.amazon.com/dp/B0BV8ZQ81F/?coliid=I10OQA73D14EXB&amp;colid=12Q39W8V03L12&amp;psc=1&amp;ref_=list_c_wl_lv_ov_lig_dp_it" TargetMode="External"/><Relationship Id="rId7" Type="http://schemas.openxmlformats.org/officeDocument/2006/relationships/hyperlink" Target="https://www.amazon.com/dp/B0CMXHWTYH/?coliid=I1O4MENNAUG3KH&amp;colid=12Q39W8V03L12&amp;psc=1&amp;ref_=list_c_wl_lv_ov_lig_dp_it" TargetMode="External"/><Relationship Id="rId12" Type="http://schemas.openxmlformats.org/officeDocument/2006/relationships/hyperlink" Target="https://www.digikey.com/en/products/detail/nidec-components/CL-SB-22C-11/3507850" TargetMode="External"/><Relationship Id="rId17" Type="http://schemas.openxmlformats.org/officeDocument/2006/relationships/vmlDrawing" Target="../drawings/vmlDrawing2.vml"/><Relationship Id="rId2" Type="http://schemas.openxmlformats.org/officeDocument/2006/relationships/hyperlink" Target="https://www.amazon.com/dp/B0D8T53CQ5/?coliid=I3VJO6C85UICKN&amp;colid=12Q39W8V03L12&amp;psc=1&amp;ref_=list_c_wl_lv_ov_lig_dp_it" TargetMode="External"/><Relationship Id="rId16" Type="http://schemas.openxmlformats.org/officeDocument/2006/relationships/printerSettings" Target="../printerSettings/printerSettings2.bin"/><Relationship Id="rId1" Type="http://schemas.openxmlformats.org/officeDocument/2006/relationships/hyperlink" Target="https://www.pcbway.com/QuickOrderOnline.aspx" TargetMode="External"/><Relationship Id="rId6" Type="http://schemas.openxmlformats.org/officeDocument/2006/relationships/hyperlink" Target="https://www.amazon.com/dp/B0DCBM8KV1/?coliid=I3OQX6ILNUIJUC&amp;colid=12Q39W8V03L12&amp;psc=1&amp;ref_=list_c_wl_lv_ov_lig_dp_it" TargetMode="External"/><Relationship Id="rId11" Type="http://schemas.openxmlformats.org/officeDocument/2006/relationships/hyperlink" Target="https://www.amazon.com/dp/B079KDQQPD/?coliid=IDH1L3DI3CNBL&amp;colid=12Q39W8V03L12&amp;psc=1&amp;ref_=list_c_wl_lv_ov_lig_dp_it" TargetMode="External"/><Relationship Id="rId5" Type="http://schemas.openxmlformats.org/officeDocument/2006/relationships/hyperlink" Target="https://www.amazon.com/dp/B09P5WJWLN/?coliid=I1FBV7RBIW4U2T&amp;colid=12Q39W8V03L12&amp;psc=1&amp;ref_=list_c_wl_lv_ov_lig_dp_it" TargetMode="External"/><Relationship Id="rId15" Type="http://schemas.openxmlformats.org/officeDocument/2006/relationships/hyperlink" Target="https://www.amazon.com/dp/B0CCS11XFL/?coliid=I3N0PGN9F5PV51&amp;colid=12Q39W8V03L12&amp;psc=1&amp;ref_=list_c_wl_lv_ov_lig_dp_it" TargetMode="External"/><Relationship Id="rId10" Type="http://schemas.openxmlformats.org/officeDocument/2006/relationships/hyperlink" Target="https://www.digikey.com/en/products/detail/scs/3001012/1621604" TargetMode="External"/><Relationship Id="rId19" Type="http://schemas.microsoft.com/office/2017/10/relationships/threadedComment" Target="../threadedComments/threadedComment2.xml"/><Relationship Id="rId4" Type="http://schemas.openxmlformats.org/officeDocument/2006/relationships/hyperlink" Target="https://www.amazon.com/dp/B0858FBL8V/?coliid=I2GIA4ELW55THL&amp;colid=12Q39W8V03L12&amp;psc=1&amp;ref_=list_c_wl_lv_ov_lig_dp_it" TargetMode="External"/><Relationship Id="rId9" Type="http://schemas.openxmlformats.org/officeDocument/2006/relationships/hyperlink" Target="https://www.digikey.com/en/products/detail/sparkfun-electronics/11450/5673784" TargetMode="External"/><Relationship Id="rId14" Type="http://schemas.openxmlformats.org/officeDocument/2006/relationships/hyperlink" Target="https://www.amazon.com/dp/B01GVDGA5S/?coliid=IVPLVKM4NMG9N&amp;colid=12Q39W8V03L12&amp;psc=1&amp;ref_=list_c_wl_lv_ov_lig_dp_it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omments" Target="../comments3.xml"/><Relationship Id="rId3" Type="http://schemas.openxmlformats.org/officeDocument/2006/relationships/hyperlink" Target="https://www.digikey.com/en/products/detail/sparkfun-electronics/11449/5673783" TargetMode="External"/><Relationship Id="rId7" Type="http://schemas.openxmlformats.org/officeDocument/2006/relationships/vmlDrawing" Target="../drawings/vmlDrawing3.vml"/><Relationship Id="rId2" Type="http://schemas.openxmlformats.org/officeDocument/2006/relationships/hyperlink" Target="https://www.digikey.com/en/products/detail/w%C3%BCrth-elektronik/61200621621/4846913" TargetMode="External"/><Relationship Id="rId1" Type="http://schemas.openxmlformats.org/officeDocument/2006/relationships/hyperlink" Target="https://www.pcbway.com/QuickOrderOnline.aspx" TargetMode="External"/><Relationship Id="rId6" Type="http://schemas.openxmlformats.org/officeDocument/2006/relationships/printerSettings" Target="../printerSettings/printerSettings3.bin"/><Relationship Id="rId5" Type="http://schemas.openxmlformats.org/officeDocument/2006/relationships/hyperlink" Target="https://www.digikey.com/en/products/detail/sparkfun-electronics/11448/5673782" TargetMode="External"/><Relationship Id="rId4" Type="http://schemas.openxmlformats.org/officeDocument/2006/relationships/hyperlink" Target="https://www.digikey.com/en/products/detail/scs/30035/3430456" TargetMode="External"/><Relationship Id="rId9" Type="http://schemas.microsoft.com/office/2017/10/relationships/threadedComment" Target="../threadedComments/threadedComment3.xml"/></Relationships>
</file>

<file path=xl/worksheets/_rels/sheet4.xml.rels><?xml version="1.0" encoding="UTF-8" standalone="yes"?>
<Relationships xmlns="http://schemas.openxmlformats.org/package/2006/relationships"><Relationship Id="rId8" Type="http://schemas.microsoft.com/office/2017/10/relationships/threadedComment" Target="../threadedComments/threadedComment4.xml"/><Relationship Id="rId3" Type="http://schemas.openxmlformats.org/officeDocument/2006/relationships/hyperlink" Target="https://www.digikey.com/en/products/detail/scs/30035/3430456" TargetMode="External"/><Relationship Id="rId7" Type="http://schemas.openxmlformats.org/officeDocument/2006/relationships/comments" Target="../comments4.xml"/><Relationship Id="rId2" Type="http://schemas.openxmlformats.org/officeDocument/2006/relationships/hyperlink" Target="https://www.digikey.com/en/products/detail/w%C3%BCrth-elektronik/61200621621/4846913" TargetMode="External"/><Relationship Id="rId1" Type="http://schemas.openxmlformats.org/officeDocument/2006/relationships/hyperlink" Target="https://www.pcbway.com/QuickOrderOnline.aspx" TargetMode="External"/><Relationship Id="rId6" Type="http://schemas.openxmlformats.org/officeDocument/2006/relationships/vmlDrawing" Target="../drawings/vmlDrawing4.vml"/><Relationship Id="rId5" Type="http://schemas.openxmlformats.org/officeDocument/2006/relationships/printerSettings" Target="../printerSettings/printerSettings4.bin"/><Relationship Id="rId4" Type="http://schemas.openxmlformats.org/officeDocument/2006/relationships/hyperlink" Target="https://www.digikey.com/en/products/detail/sparkfun-electronics/11450/567378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"/>
  <sheetViews>
    <sheetView tabSelected="1" workbookViewId="0"/>
  </sheetViews>
  <sheetFormatPr defaultRowHeight="15" x14ac:dyDescent="0.25"/>
  <cols>
    <col min="1" max="1" width="25.7109375" bestFit="1" customWidth="1"/>
    <col min="2" max="2" width="10" bestFit="1" customWidth="1"/>
    <col min="3" max="3" width="9" bestFit="1" customWidth="1"/>
    <col min="4" max="4" width="13.85546875" bestFit="1" customWidth="1"/>
    <col min="5" max="5" width="15.28515625" bestFit="1" customWidth="1"/>
    <col min="6" max="6" width="8.5703125" bestFit="1" customWidth="1"/>
    <col min="7" max="7" width="9.28515625" bestFit="1" customWidth="1"/>
    <col min="8" max="8" width="9.7109375" bestFit="1" customWidth="1"/>
    <col min="9" max="9" width="10.5703125" bestFit="1" customWidth="1"/>
    <col min="10" max="10" width="125" bestFit="1" customWidth="1"/>
  </cols>
  <sheetData>
    <row r="1" spans="1:10" x14ac:dyDescent="0.25">
      <c r="A1" t="s">
        <v>0</v>
      </c>
      <c r="B1" t="s">
        <v>43</v>
      </c>
      <c r="C1" t="s">
        <v>4</v>
      </c>
      <c r="D1" t="s">
        <v>38</v>
      </c>
      <c r="E1" t="s">
        <v>1</v>
      </c>
      <c r="F1" t="s">
        <v>41</v>
      </c>
      <c r="G1" t="s">
        <v>42</v>
      </c>
      <c r="H1" t="s">
        <v>39</v>
      </c>
      <c r="I1" t="s">
        <v>46</v>
      </c>
      <c r="J1" t="s">
        <v>44</v>
      </c>
    </row>
    <row r="2" spans="1:10" x14ac:dyDescent="0.25">
      <c r="A2" t="s">
        <v>2</v>
      </c>
      <c r="B2">
        <v>1</v>
      </c>
      <c r="C2" s="2">
        <f>SUM(G2/F2)</f>
        <v>9.6893333333333338</v>
      </c>
      <c r="D2" s="2">
        <f>SUM(C2*B2)</f>
        <v>9.6893333333333338</v>
      </c>
      <c r="E2" t="s">
        <v>3</v>
      </c>
      <c r="F2" s="4">
        <v>1</v>
      </c>
      <c r="G2" s="2">
        <f>SUM(I2/H2)</f>
        <v>9.6893333333333338</v>
      </c>
      <c r="H2" s="5">
        <f>ROUNDUP(SUM(B2*D22/F2), 0)</f>
        <v>75</v>
      </c>
      <c r="I2" s="2">
        <v>726.7</v>
      </c>
      <c r="J2" s="3" t="s">
        <v>6</v>
      </c>
    </row>
    <row r="3" spans="1:10" x14ac:dyDescent="0.25">
      <c r="C3" s="2"/>
      <c r="D3" s="2"/>
      <c r="F3" s="4"/>
      <c r="G3" s="2"/>
      <c r="H3" s="5"/>
      <c r="I3" s="2"/>
      <c r="J3" s="3"/>
    </row>
    <row r="4" spans="1:10" x14ac:dyDescent="0.25">
      <c r="A4" t="s">
        <v>14</v>
      </c>
      <c r="B4">
        <v>1</v>
      </c>
      <c r="C4" s="2">
        <f t="shared" ref="C4:C13" si="0">SUM(G4/F4)</f>
        <v>5.6633333333333331</v>
      </c>
      <c r="D4" s="2">
        <f t="shared" ref="D4:D13" si="1">SUM(C4*B4)</f>
        <v>5.6633333333333331</v>
      </c>
      <c r="E4" t="s">
        <v>5</v>
      </c>
      <c r="F4" s="4">
        <v>3</v>
      </c>
      <c r="G4" s="2">
        <v>16.989999999999998</v>
      </c>
      <c r="H4" s="5">
        <f>ROUNDUP(SUM(B4*D22/F4), 0)</f>
        <v>25</v>
      </c>
      <c r="I4" s="2">
        <f t="shared" ref="I4:I18" si="2">SUM(G4*H4)</f>
        <v>424.74999999999994</v>
      </c>
      <c r="J4" s="1" t="s">
        <v>15</v>
      </c>
    </row>
    <row r="5" spans="1:10" x14ac:dyDescent="0.25">
      <c r="A5" t="s">
        <v>16</v>
      </c>
      <c r="B5">
        <v>1</v>
      </c>
      <c r="C5" s="2">
        <f t="shared" si="0"/>
        <v>1.165</v>
      </c>
      <c r="D5" s="2">
        <f t="shared" si="1"/>
        <v>1.165</v>
      </c>
      <c r="E5" t="s">
        <v>5</v>
      </c>
      <c r="F5" s="4">
        <v>6</v>
      </c>
      <c r="G5" s="2">
        <v>6.99</v>
      </c>
      <c r="H5" s="5">
        <f>ROUNDUP(SUM(B5*D22/F5), 0)</f>
        <v>13</v>
      </c>
      <c r="I5" s="2">
        <f t="shared" si="2"/>
        <v>90.87</v>
      </c>
      <c r="J5" s="1" t="s">
        <v>17</v>
      </c>
    </row>
    <row r="6" spans="1:10" x14ac:dyDescent="0.25">
      <c r="A6" t="s">
        <v>13</v>
      </c>
      <c r="B6">
        <v>1</v>
      </c>
      <c r="C6" s="2">
        <f t="shared" si="0"/>
        <v>9.49</v>
      </c>
      <c r="D6" s="2">
        <f t="shared" si="1"/>
        <v>9.49</v>
      </c>
      <c r="E6" t="s">
        <v>5</v>
      </c>
      <c r="F6" s="4">
        <v>2</v>
      </c>
      <c r="G6" s="2">
        <v>18.98</v>
      </c>
      <c r="H6" s="5">
        <f>ROUNDUP(SUM(B6*D22/F6), 0)</f>
        <v>38</v>
      </c>
      <c r="I6" s="2">
        <f t="shared" si="2"/>
        <v>721.24</v>
      </c>
      <c r="J6" s="1" t="s">
        <v>35</v>
      </c>
    </row>
    <row r="7" spans="1:10" x14ac:dyDescent="0.25">
      <c r="A7" t="s">
        <v>26</v>
      </c>
      <c r="B7">
        <v>1</v>
      </c>
      <c r="C7" s="2">
        <f t="shared" si="0"/>
        <v>1.3316666666666668</v>
      </c>
      <c r="D7" s="2">
        <f t="shared" si="1"/>
        <v>1.3316666666666668</v>
      </c>
      <c r="E7" t="s">
        <v>5</v>
      </c>
      <c r="F7" s="4">
        <v>6</v>
      </c>
      <c r="G7" s="2">
        <v>7.99</v>
      </c>
      <c r="H7" s="5">
        <f>ROUNDUP(SUM(B7*D22/F7), 0)</f>
        <v>13</v>
      </c>
      <c r="I7" s="2">
        <f t="shared" si="2"/>
        <v>103.87</v>
      </c>
      <c r="J7" s="3" t="s">
        <v>34</v>
      </c>
    </row>
    <row r="8" spans="1:10" x14ac:dyDescent="0.25">
      <c r="A8" t="s">
        <v>27</v>
      </c>
      <c r="B8">
        <v>4</v>
      </c>
      <c r="C8" s="2">
        <f t="shared" si="0"/>
        <v>0.2999</v>
      </c>
      <c r="D8" s="2">
        <f t="shared" si="1"/>
        <v>1.1996</v>
      </c>
      <c r="E8" t="s">
        <v>5</v>
      </c>
      <c r="F8" s="4">
        <v>100</v>
      </c>
      <c r="G8" s="2">
        <v>29.99</v>
      </c>
      <c r="H8" s="5">
        <f>ROUNDUP(SUM(B8*D22/F8), 0)</f>
        <v>3</v>
      </c>
      <c r="I8" s="2">
        <f t="shared" si="2"/>
        <v>89.97</v>
      </c>
      <c r="J8" s="3" t="s">
        <v>40</v>
      </c>
    </row>
    <row r="9" spans="1:10" x14ac:dyDescent="0.25">
      <c r="A9" t="s">
        <v>18</v>
      </c>
      <c r="B9">
        <v>1</v>
      </c>
      <c r="C9" s="2">
        <f t="shared" si="0"/>
        <v>1.998</v>
      </c>
      <c r="D9" s="2">
        <f t="shared" si="1"/>
        <v>1.998</v>
      </c>
      <c r="E9" t="s">
        <v>5</v>
      </c>
      <c r="F9" s="4">
        <v>5</v>
      </c>
      <c r="G9" s="2">
        <v>9.99</v>
      </c>
      <c r="H9" s="5">
        <f>ROUNDUP(SUM(B9*D22/F9), 0)</f>
        <v>15</v>
      </c>
      <c r="I9" s="2">
        <f t="shared" si="2"/>
        <v>149.85</v>
      </c>
      <c r="J9" s="1" t="s">
        <v>33</v>
      </c>
    </row>
    <row r="10" spans="1:10" x14ac:dyDescent="0.25">
      <c r="A10" t="s">
        <v>19</v>
      </c>
      <c r="B10">
        <v>1</v>
      </c>
      <c r="C10" s="2">
        <f t="shared" si="0"/>
        <v>4.3979999999999997</v>
      </c>
      <c r="D10" s="2">
        <f t="shared" si="1"/>
        <v>4.3979999999999997</v>
      </c>
      <c r="E10" t="s">
        <v>5</v>
      </c>
      <c r="F10" s="4">
        <v>5</v>
      </c>
      <c r="G10" s="2">
        <v>21.99</v>
      </c>
      <c r="H10" s="5">
        <f>ROUNDUP(SUM(B10*D22/F10), 0)</f>
        <v>15</v>
      </c>
      <c r="I10" s="2">
        <f t="shared" si="2"/>
        <v>329.84999999999997</v>
      </c>
      <c r="J10" s="1" t="s">
        <v>32</v>
      </c>
    </row>
    <row r="11" spans="1:10" x14ac:dyDescent="0.25">
      <c r="A11" t="s">
        <v>20</v>
      </c>
      <c r="B11">
        <v>5</v>
      </c>
      <c r="C11" s="2">
        <f t="shared" si="0"/>
        <v>0.29980000000000001</v>
      </c>
      <c r="D11" s="2">
        <f t="shared" si="1"/>
        <v>1.4990000000000001</v>
      </c>
      <c r="E11" t="s">
        <v>5</v>
      </c>
      <c r="F11" s="4">
        <v>50</v>
      </c>
      <c r="G11" s="2">
        <v>14.99</v>
      </c>
      <c r="H11" s="5">
        <f>ROUNDUP(SUM(B11*D22/F11), 0)</f>
        <v>8</v>
      </c>
      <c r="I11" s="2">
        <f t="shared" si="2"/>
        <v>119.92</v>
      </c>
      <c r="J11" s="1" t="s">
        <v>21</v>
      </c>
    </row>
    <row r="12" spans="1:10" x14ac:dyDescent="0.25">
      <c r="A12" t="s">
        <v>28</v>
      </c>
      <c r="B12">
        <v>1</v>
      </c>
      <c r="C12" s="2">
        <f t="shared" si="0"/>
        <v>6.9900000000000004E-2</v>
      </c>
      <c r="D12" s="2">
        <f t="shared" si="1"/>
        <v>6.9900000000000004E-2</v>
      </c>
      <c r="E12" t="s">
        <v>5</v>
      </c>
      <c r="F12" s="4">
        <v>100</v>
      </c>
      <c r="G12" s="2">
        <v>6.99</v>
      </c>
      <c r="H12" s="5">
        <f>ROUNDUP(SUM(B12*D22/F12), 0)</f>
        <v>1</v>
      </c>
      <c r="I12" s="2">
        <f t="shared" si="2"/>
        <v>6.99</v>
      </c>
      <c r="J12" s="1" t="s">
        <v>31</v>
      </c>
    </row>
    <row r="13" spans="1:10" x14ac:dyDescent="0.25">
      <c r="A13" t="s">
        <v>36</v>
      </c>
      <c r="B13">
        <v>1</v>
      </c>
      <c r="C13" s="2">
        <f t="shared" si="0"/>
        <v>6.9900000000000004E-2</v>
      </c>
      <c r="D13" s="2">
        <f t="shared" si="1"/>
        <v>6.9900000000000004E-2</v>
      </c>
      <c r="E13" t="s">
        <v>5</v>
      </c>
      <c r="F13" s="4">
        <v>100</v>
      </c>
      <c r="G13" s="2">
        <v>6.99</v>
      </c>
      <c r="H13" s="5">
        <f>ROUNDUP(SUM(B13*D22/F13), 0)</f>
        <v>1</v>
      </c>
      <c r="I13" s="2">
        <f t="shared" si="2"/>
        <v>6.99</v>
      </c>
      <c r="J13" s="1" t="s">
        <v>37</v>
      </c>
    </row>
    <row r="14" spans="1:10" x14ac:dyDescent="0.25">
      <c r="C14" s="2"/>
      <c r="D14" s="2"/>
      <c r="F14" s="4"/>
      <c r="G14" s="2"/>
      <c r="H14" s="5"/>
      <c r="I14" s="2"/>
      <c r="J14" s="1"/>
    </row>
    <row r="15" spans="1:10" x14ac:dyDescent="0.25">
      <c r="A15" t="s">
        <v>7</v>
      </c>
      <c r="B15">
        <v>1</v>
      </c>
      <c r="C15" s="2">
        <f>SUM(G15/F15)</f>
        <v>0.63</v>
      </c>
      <c r="D15" s="2">
        <f>SUM(C15*B15)</f>
        <v>0.63</v>
      </c>
      <c r="E15" t="s">
        <v>9</v>
      </c>
      <c r="F15" s="4">
        <v>1</v>
      </c>
      <c r="G15" s="2">
        <v>0.63</v>
      </c>
      <c r="H15" s="5">
        <f>ROUNDUP(SUM(B15*D22/F15), 0)</f>
        <v>75</v>
      </c>
      <c r="I15" s="2">
        <f t="shared" si="2"/>
        <v>47.25</v>
      </c>
      <c r="J15" s="1" t="s">
        <v>8</v>
      </c>
    </row>
    <row r="16" spans="1:10" x14ac:dyDescent="0.25">
      <c r="A16" t="s">
        <v>11</v>
      </c>
      <c r="B16">
        <v>1</v>
      </c>
      <c r="C16" s="2">
        <f>SUM(G16/F16)</f>
        <v>1.37</v>
      </c>
      <c r="D16" s="2">
        <f>SUM(C16*B16)</f>
        <v>1.37</v>
      </c>
      <c r="E16" t="s">
        <v>9</v>
      </c>
      <c r="F16" s="4">
        <v>1</v>
      </c>
      <c r="G16" s="2">
        <v>1.37</v>
      </c>
      <c r="H16" s="5">
        <f>ROUNDUP(SUM(B16*D22/F16), 0)</f>
        <v>75</v>
      </c>
      <c r="I16" s="2">
        <f t="shared" si="2"/>
        <v>102.75000000000001</v>
      </c>
      <c r="J16" s="1" t="s">
        <v>29</v>
      </c>
    </row>
    <row r="17" spans="1:10" x14ac:dyDescent="0.25">
      <c r="A17" t="s">
        <v>52</v>
      </c>
      <c r="B17">
        <v>1</v>
      </c>
      <c r="C17" s="2">
        <f>SUM(G17/F17)</f>
        <v>0.6</v>
      </c>
      <c r="D17" s="2">
        <f>SUM(C17*B17)</f>
        <v>0.6</v>
      </c>
      <c r="E17" t="s">
        <v>9</v>
      </c>
      <c r="F17" s="4">
        <v>1</v>
      </c>
      <c r="G17" s="2">
        <v>0.6</v>
      </c>
      <c r="H17" s="5">
        <f>ROUNDUP(SUM(B17*D22/F17), 0)</f>
        <v>75</v>
      </c>
      <c r="I17" s="2">
        <f t="shared" si="2"/>
        <v>45</v>
      </c>
      <c r="J17" s="1" t="s">
        <v>23</v>
      </c>
    </row>
    <row r="18" spans="1:10" x14ac:dyDescent="0.25">
      <c r="A18" t="s">
        <v>10</v>
      </c>
      <c r="B18">
        <v>1</v>
      </c>
      <c r="C18" s="2">
        <f>SUM(G18/F18)</f>
        <v>0.53</v>
      </c>
      <c r="D18" s="2">
        <f>SUM(C18*B18)</f>
        <v>0.53</v>
      </c>
      <c r="E18" t="s">
        <v>9</v>
      </c>
      <c r="F18" s="4">
        <v>1</v>
      </c>
      <c r="G18" s="2">
        <v>0.53</v>
      </c>
      <c r="H18" s="5">
        <f>ROUNDUP(SUM(B18*D22/F18), 0)</f>
        <v>75</v>
      </c>
      <c r="I18" s="2">
        <f t="shared" si="2"/>
        <v>39.75</v>
      </c>
      <c r="J18" s="1" t="s">
        <v>30</v>
      </c>
    </row>
    <row r="19" spans="1:10" x14ac:dyDescent="0.25">
      <c r="C19" s="2"/>
      <c r="D19" s="2"/>
      <c r="F19" s="2"/>
      <c r="G19" s="2"/>
    </row>
    <row r="21" spans="1:10" x14ac:dyDescent="0.25">
      <c r="D21" s="2">
        <f>SUM(D2:D18)</f>
        <v>39.703733333333332</v>
      </c>
      <c r="E21" t="s">
        <v>12</v>
      </c>
      <c r="I21" s="6">
        <f>SUM(I2:I18)</f>
        <v>3005.7499999999995</v>
      </c>
      <c r="J21" t="s">
        <v>47</v>
      </c>
    </row>
    <row r="22" spans="1:10" x14ac:dyDescent="0.25">
      <c r="D22">
        <v>75</v>
      </c>
      <c r="E22" t="s">
        <v>45</v>
      </c>
    </row>
    <row r="23" spans="1:10" x14ac:dyDescent="0.25">
      <c r="D23" s="2">
        <f>SUM(D21*D22)</f>
        <v>2977.7799999999997</v>
      </c>
      <c r="E23" t="s">
        <v>48</v>
      </c>
    </row>
  </sheetData>
  <hyperlinks>
    <hyperlink ref="J2" r:id="rId1" xr:uid="{8A5F3BBB-5F99-475B-96F2-11D9FCD7ED37}"/>
    <hyperlink ref="J4" r:id="rId2" xr:uid="{51AE0CEB-8FAF-4853-9942-E96D6F45732A}"/>
    <hyperlink ref="J5" r:id="rId3" xr:uid="{FF5C60DF-A604-4EC8-B0C2-C326F95F2874}"/>
    <hyperlink ref="J6" r:id="rId4" xr:uid="{3788F5C5-2562-4E54-B919-07C2535F57D6}"/>
    <hyperlink ref="J9" r:id="rId5" xr:uid="{B456F246-3DF7-493C-B5F7-811964CC79A4}"/>
    <hyperlink ref="J10" r:id="rId6" xr:uid="{3A996D45-C7AC-4025-8C50-700614E86CB1}"/>
    <hyperlink ref="J11" r:id="rId7" xr:uid="{2FB7E3DD-BA22-45C7-BA1D-78D47DEBA22F}"/>
    <hyperlink ref="J15" r:id="rId8" xr:uid="{8AA433D2-FD50-49B4-B244-A00E51A7D327}"/>
    <hyperlink ref="J17" r:id="rId9" xr:uid="{1C67C280-5DB7-4EF4-8E23-09437BC12978}"/>
    <hyperlink ref="J18" r:id="rId10" xr:uid="{7B30A495-31CE-4D2B-8EC9-D7DCB72EA441}"/>
    <hyperlink ref="J12" r:id="rId11" xr:uid="{7BB51119-AE44-4A0B-AD10-0360BC83E7E0}"/>
    <hyperlink ref="J16" r:id="rId12" xr:uid="{3F2D8517-2278-44B2-969B-6D6B60B81ECA}"/>
    <hyperlink ref="J8" r:id="rId13" xr:uid="{26EE72E3-238A-4B76-B29F-CF9D8490F255}"/>
    <hyperlink ref="J7" r:id="rId14" xr:uid="{C35217F1-0DDD-458F-B109-87A9CDDE8A16}"/>
    <hyperlink ref="J13" r:id="rId15" xr:uid="{36F53DB5-276D-41CC-886D-AD8B86A95995}"/>
  </hyperlinks>
  <pageMargins left="0.7" right="0.7" top="0.75" bottom="0.75" header="0.3" footer="0.3"/>
  <pageSetup orientation="portrait" r:id="rId16"/>
  <legacyDrawing r:id="rId17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ED08F-CDB2-4095-92B7-15AD2026A4C2}">
  <dimension ref="A1:J23"/>
  <sheetViews>
    <sheetView workbookViewId="0"/>
  </sheetViews>
  <sheetFormatPr defaultRowHeight="15" x14ac:dyDescent="0.25"/>
  <cols>
    <col min="1" max="1" width="25.7109375" bestFit="1" customWidth="1"/>
    <col min="2" max="2" width="10" bestFit="1" customWidth="1"/>
    <col min="3" max="3" width="9" bestFit="1" customWidth="1"/>
    <col min="4" max="4" width="13.85546875" bestFit="1" customWidth="1"/>
    <col min="5" max="5" width="15.28515625" bestFit="1" customWidth="1"/>
    <col min="6" max="6" width="8.5703125" bestFit="1" customWidth="1"/>
    <col min="7" max="7" width="9.28515625" bestFit="1" customWidth="1"/>
    <col min="8" max="8" width="9.7109375" bestFit="1" customWidth="1"/>
    <col min="9" max="9" width="10.5703125" bestFit="1" customWidth="1"/>
    <col min="10" max="10" width="125" customWidth="1"/>
  </cols>
  <sheetData>
    <row r="1" spans="1:10" x14ac:dyDescent="0.25">
      <c r="A1" t="s">
        <v>0</v>
      </c>
      <c r="B1" t="s">
        <v>43</v>
      </c>
      <c r="C1" t="s">
        <v>4</v>
      </c>
      <c r="D1" t="s">
        <v>38</v>
      </c>
      <c r="E1" t="s">
        <v>1</v>
      </c>
      <c r="F1" t="s">
        <v>41</v>
      </c>
      <c r="G1" t="s">
        <v>42</v>
      </c>
      <c r="H1" t="s">
        <v>39</v>
      </c>
      <c r="I1" t="s">
        <v>46</v>
      </c>
      <c r="J1" t="s">
        <v>44</v>
      </c>
    </row>
    <row r="2" spans="1:10" x14ac:dyDescent="0.25">
      <c r="A2" t="s">
        <v>2</v>
      </c>
      <c r="B2">
        <v>1</v>
      </c>
      <c r="C2" s="2">
        <f>SUM(G2/F2)</f>
        <v>7.86</v>
      </c>
      <c r="D2" s="2">
        <f>SUM(C2*B2)</f>
        <v>7.86</v>
      </c>
      <c r="E2" t="s">
        <v>3</v>
      </c>
      <c r="F2" s="4">
        <v>1</v>
      </c>
      <c r="G2" s="2">
        <v>7.86</v>
      </c>
      <c r="H2" s="5">
        <f>ROUNDUP(SUM(B2*D22/F2), 0)</f>
        <v>75</v>
      </c>
      <c r="I2" s="2">
        <v>726.7</v>
      </c>
      <c r="J2" s="3" t="s">
        <v>6</v>
      </c>
    </row>
    <row r="3" spans="1:10" x14ac:dyDescent="0.25">
      <c r="C3" s="2"/>
      <c r="D3" s="2"/>
      <c r="F3" s="4"/>
      <c r="G3" s="2"/>
      <c r="H3" s="5"/>
      <c r="I3" s="2"/>
      <c r="J3" s="3"/>
    </row>
    <row r="4" spans="1:10" x14ac:dyDescent="0.25">
      <c r="A4" t="s">
        <v>14</v>
      </c>
      <c r="B4">
        <v>1</v>
      </c>
      <c r="C4" s="2">
        <f t="shared" ref="C4:C13" si="0">SUM(G4/F4)</f>
        <v>5.6633333333333331</v>
      </c>
      <c r="D4" s="2">
        <f t="shared" ref="D4:D13" si="1">SUM(C4*B4)</f>
        <v>5.6633333333333331</v>
      </c>
      <c r="E4" t="s">
        <v>5</v>
      </c>
      <c r="F4" s="4">
        <v>3</v>
      </c>
      <c r="G4" s="2">
        <v>16.989999999999998</v>
      </c>
      <c r="H4" s="5">
        <f>ROUNDUP(SUM(B4*D22/F4), 0)</f>
        <v>25</v>
      </c>
      <c r="I4" s="2">
        <f t="shared" ref="I4:I18" si="2">SUM(G4*H4)</f>
        <v>424.74999999999994</v>
      </c>
      <c r="J4" s="1" t="s">
        <v>15</v>
      </c>
    </row>
    <row r="5" spans="1:10" x14ac:dyDescent="0.25">
      <c r="A5" t="s">
        <v>16</v>
      </c>
      <c r="B5">
        <v>1</v>
      </c>
      <c r="C5" s="2">
        <f t="shared" si="0"/>
        <v>1.165</v>
      </c>
      <c r="D5" s="2">
        <f t="shared" si="1"/>
        <v>1.165</v>
      </c>
      <c r="E5" t="s">
        <v>5</v>
      </c>
      <c r="F5" s="4">
        <v>6</v>
      </c>
      <c r="G5" s="2">
        <v>6.99</v>
      </c>
      <c r="H5" s="5">
        <f>ROUNDUP(SUM(B5*D22/F5), 0)</f>
        <v>13</v>
      </c>
      <c r="I5" s="2">
        <f t="shared" si="2"/>
        <v>90.87</v>
      </c>
      <c r="J5" s="1" t="s">
        <v>17</v>
      </c>
    </row>
    <row r="6" spans="1:10" x14ac:dyDescent="0.25">
      <c r="A6" t="s">
        <v>13</v>
      </c>
      <c r="B6">
        <v>1</v>
      </c>
      <c r="C6" s="2">
        <f t="shared" si="0"/>
        <v>9.49</v>
      </c>
      <c r="D6" s="2">
        <f t="shared" si="1"/>
        <v>9.49</v>
      </c>
      <c r="E6" t="s">
        <v>5</v>
      </c>
      <c r="F6" s="4">
        <v>2</v>
      </c>
      <c r="G6" s="2">
        <v>18.98</v>
      </c>
      <c r="H6" s="5">
        <f>ROUNDUP(SUM(B6*D22/F6), 0)</f>
        <v>38</v>
      </c>
      <c r="I6" s="2">
        <f t="shared" si="2"/>
        <v>721.24</v>
      </c>
      <c r="J6" s="1" t="s">
        <v>35</v>
      </c>
    </row>
    <row r="7" spans="1:10" x14ac:dyDescent="0.25">
      <c r="A7" t="s">
        <v>26</v>
      </c>
      <c r="B7">
        <v>1</v>
      </c>
      <c r="C7" s="2">
        <f t="shared" si="0"/>
        <v>1.3316666666666668</v>
      </c>
      <c r="D7" s="2">
        <f t="shared" si="1"/>
        <v>1.3316666666666668</v>
      </c>
      <c r="E7" t="s">
        <v>5</v>
      </c>
      <c r="F7" s="4">
        <v>6</v>
      </c>
      <c r="G7" s="2">
        <v>7.99</v>
      </c>
      <c r="H7" s="5">
        <f>ROUNDUP(SUM(B7*D22/F7), 0)</f>
        <v>13</v>
      </c>
      <c r="I7" s="2">
        <f t="shared" si="2"/>
        <v>103.87</v>
      </c>
      <c r="J7" s="3" t="s">
        <v>34</v>
      </c>
    </row>
    <row r="8" spans="1:10" x14ac:dyDescent="0.25">
      <c r="A8" t="s">
        <v>27</v>
      </c>
      <c r="B8">
        <v>4</v>
      </c>
      <c r="C8" s="2">
        <f t="shared" si="0"/>
        <v>0.2999</v>
      </c>
      <c r="D8" s="2">
        <f t="shared" si="1"/>
        <v>1.1996</v>
      </c>
      <c r="E8" t="s">
        <v>5</v>
      </c>
      <c r="F8" s="4">
        <v>100</v>
      </c>
      <c r="G8" s="2">
        <v>29.99</v>
      </c>
      <c r="H8" s="5">
        <f>ROUNDUP(SUM(B8*D22/F8), 0)</f>
        <v>3</v>
      </c>
      <c r="I8" s="2">
        <f t="shared" si="2"/>
        <v>89.97</v>
      </c>
      <c r="J8" s="3" t="s">
        <v>40</v>
      </c>
    </row>
    <row r="9" spans="1:10" x14ac:dyDescent="0.25">
      <c r="A9" t="s">
        <v>18</v>
      </c>
      <c r="B9">
        <v>1</v>
      </c>
      <c r="C9" s="2">
        <f t="shared" si="0"/>
        <v>1.998</v>
      </c>
      <c r="D9" s="2">
        <f t="shared" si="1"/>
        <v>1.998</v>
      </c>
      <c r="E9" t="s">
        <v>5</v>
      </c>
      <c r="F9" s="4">
        <v>5</v>
      </c>
      <c r="G9" s="2">
        <v>9.99</v>
      </c>
      <c r="H9" s="5">
        <f>ROUNDUP(SUM(B9*D22/F9), 0)</f>
        <v>15</v>
      </c>
      <c r="I9" s="2">
        <f t="shared" si="2"/>
        <v>149.85</v>
      </c>
      <c r="J9" s="1" t="s">
        <v>33</v>
      </c>
    </row>
    <row r="10" spans="1:10" x14ac:dyDescent="0.25">
      <c r="A10" t="s">
        <v>19</v>
      </c>
      <c r="B10">
        <v>1</v>
      </c>
      <c r="C10" s="2">
        <f t="shared" si="0"/>
        <v>4.3979999999999997</v>
      </c>
      <c r="D10" s="2">
        <f t="shared" si="1"/>
        <v>4.3979999999999997</v>
      </c>
      <c r="E10" t="s">
        <v>5</v>
      </c>
      <c r="F10" s="4">
        <v>5</v>
      </c>
      <c r="G10" s="2">
        <v>21.99</v>
      </c>
      <c r="H10" s="5">
        <f>ROUNDUP(SUM(B10*D22/F10), 0)</f>
        <v>15</v>
      </c>
      <c r="I10" s="2">
        <f t="shared" si="2"/>
        <v>329.84999999999997</v>
      </c>
      <c r="J10" s="1" t="s">
        <v>32</v>
      </c>
    </row>
    <row r="11" spans="1:10" x14ac:dyDescent="0.25">
      <c r="A11" t="s">
        <v>20</v>
      </c>
      <c r="B11">
        <v>5</v>
      </c>
      <c r="C11" s="2">
        <f t="shared" si="0"/>
        <v>0.29980000000000001</v>
      </c>
      <c r="D11" s="2">
        <f t="shared" si="1"/>
        <v>1.4990000000000001</v>
      </c>
      <c r="E11" t="s">
        <v>5</v>
      </c>
      <c r="F11" s="4">
        <v>50</v>
      </c>
      <c r="G11" s="2">
        <v>14.99</v>
      </c>
      <c r="H11" s="5">
        <f>ROUNDUP(SUM(B11*D22/F11), 0)</f>
        <v>8</v>
      </c>
      <c r="I11" s="2">
        <f t="shared" si="2"/>
        <v>119.92</v>
      </c>
      <c r="J11" s="1" t="s">
        <v>21</v>
      </c>
    </row>
    <row r="12" spans="1:10" x14ac:dyDescent="0.25">
      <c r="A12" t="s">
        <v>28</v>
      </c>
      <c r="B12">
        <v>1</v>
      </c>
      <c r="C12" s="2">
        <f t="shared" si="0"/>
        <v>6.9900000000000004E-2</v>
      </c>
      <c r="D12" s="2">
        <f t="shared" si="1"/>
        <v>6.9900000000000004E-2</v>
      </c>
      <c r="E12" t="s">
        <v>5</v>
      </c>
      <c r="F12" s="4">
        <v>100</v>
      </c>
      <c r="G12" s="2">
        <v>6.99</v>
      </c>
      <c r="H12" s="5">
        <f>ROUNDUP(SUM(B12*D22/F12), 0)</f>
        <v>1</v>
      </c>
      <c r="I12" s="2">
        <f t="shared" si="2"/>
        <v>6.99</v>
      </c>
      <c r="J12" s="1" t="s">
        <v>31</v>
      </c>
    </row>
    <row r="13" spans="1:10" x14ac:dyDescent="0.25">
      <c r="A13" t="s">
        <v>36</v>
      </c>
      <c r="B13">
        <v>1</v>
      </c>
      <c r="C13" s="2">
        <f t="shared" si="0"/>
        <v>6.9900000000000004E-2</v>
      </c>
      <c r="D13" s="2">
        <f t="shared" si="1"/>
        <v>6.9900000000000004E-2</v>
      </c>
      <c r="E13" t="s">
        <v>5</v>
      </c>
      <c r="F13" s="4">
        <v>100</v>
      </c>
      <c r="G13" s="2">
        <v>6.99</v>
      </c>
      <c r="H13" s="5">
        <f>ROUNDUP(SUM(B13*D22/F13), 0)</f>
        <v>1</v>
      </c>
      <c r="I13" s="2">
        <f t="shared" si="2"/>
        <v>6.99</v>
      </c>
      <c r="J13" s="1" t="s">
        <v>37</v>
      </c>
    </row>
    <row r="14" spans="1:10" x14ac:dyDescent="0.25">
      <c r="C14" s="2"/>
      <c r="D14" s="2"/>
      <c r="F14" s="4"/>
      <c r="G14" s="2"/>
      <c r="H14" s="5"/>
      <c r="I14" s="2"/>
      <c r="J14" s="1"/>
    </row>
    <row r="15" spans="1:10" x14ac:dyDescent="0.25">
      <c r="A15" t="s">
        <v>7</v>
      </c>
      <c r="B15">
        <v>1</v>
      </c>
      <c r="C15" s="2">
        <f>SUM(G15/F15)</f>
        <v>0.63</v>
      </c>
      <c r="D15" s="2">
        <f>SUM(C15*B15)</f>
        <v>0.63</v>
      </c>
      <c r="E15" t="s">
        <v>9</v>
      </c>
      <c r="F15" s="4">
        <v>1</v>
      </c>
      <c r="G15" s="2">
        <v>0.63</v>
      </c>
      <c r="H15" s="5">
        <f>ROUNDUP(SUM(B15*D22/F15), 0)</f>
        <v>75</v>
      </c>
      <c r="I15" s="2">
        <f t="shared" si="2"/>
        <v>47.25</v>
      </c>
      <c r="J15" s="1" t="s">
        <v>8</v>
      </c>
    </row>
    <row r="16" spans="1:10" x14ac:dyDescent="0.25">
      <c r="A16" t="s">
        <v>11</v>
      </c>
      <c r="B16">
        <v>1</v>
      </c>
      <c r="C16" s="2">
        <f>SUM(G16/F16)</f>
        <v>1.37</v>
      </c>
      <c r="D16" s="2">
        <f>SUM(C16*B16)</f>
        <v>1.37</v>
      </c>
      <c r="E16" t="s">
        <v>9</v>
      </c>
      <c r="F16" s="4">
        <v>1</v>
      </c>
      <c r="G16" s="2">
        <v>1.37</v>
      </c>
      <c r="H16" s="5">
        <f>ROUNDUP(SUM(B16*D22/F16), 0)</f>
        <v>75</v>
      </c>
      <c r="I16" s="2">
        <f t="shared" si="2"/>
        <v>102.75000000000001</v>
      </c>
      <c r="J16" s="1" t="s">
        <v>29</v>
      </c>
    </row>
    <row r="17" spans="1:10" x14ac:dyDescent="0.25">
      <c r="A17" t="s">
        <v>51</v>
      </c>
      <c r="B17">
        <v>1</v>
      </c>
      <c r="C17" s="2">
        <f>SUM(G17/F17)</f>
        <v>0.99</v>
      </c>
      <c r="D17" s="2">
        <f>SUM(C17*B17)</f>
        <v>0.99</v>
      </c>
      <c r="E17" t="s">
        <v>9</v>
      </c>
      <c r="F17" s="4">
        <v>1</v>
      </c>
      <c r="G17" s="2">
        <v>0.99</v>
      </c>
      <c r="H17" s="5">
        <f>ROUNDUP(SUM(B17*D22/F17), 0)</f>
        <v>75</v>
      </c>
      <c r="I17" s="2">
        <f t="shared" si="2"/>
        <v>74.25</v>
      </c>
      <c r="J17" s="1" t="s">
        <v>50</v>
      </c>
    </row>
    <row r="18" spans="1:10" x14ac:dyDescent="0.25">
      <c r="A18" t="s">
        <v>10</v>
      </c>
      <c r="B18">
        <v>1</v>
      </c>
      <c r="C18" s="2">
        <f>SUM(G18/F18)</f>
        <v>0.53</v>
      </c>
      <c r="D18" s="2">
        <f>SUM(C18*B18)</f>
        <v>0.53</v>
      </c>
      <c r="E18" t="s">
        <v>9</v>
      </c>
      <c r="F18" s="4">
        <v>1</v>
      </c>
      <c r="G18" s="2">
        <v>0.53</v>
      </c>
      <c r="H18" s="5">
        <f>ROUNDUP(SUM(B18*D22/F18), 0)</f>
        <v>75</v>
      </c>
      <c r="I18" s="2">
        <f t="shared" si="2"/>
        <v>39.75</v>
      </c>
      <c r="J18" s="1" t="s">
        <v>30</v>
      </c>
    </row>
    <row r="19" spans="1:10" x14ac:dyDescent="0.25">
      <c r="C19" s="2"/>
      <c r="D19" s="2"/>
      <c r="F19" s="2"/>
      <c r="G19" s="2"/>
    </row>
    <row r="21" spans="1:10" x14ac:dyDescent="0.25">
      <c r="D21" s="2">
        <f>SUM(D2:D18)</f>
        <v>38.264400000000002</v>
      </c>
      <c r="E21" t="s">
        <v>12</v>
      </c>
      <c r="I21" s="6">
        <f>SUM(I2:I18)</f>
        <v>3034.9999999999995</v>
      </c>
      <c r="J21" t="s">
        <v>47</v>
      </c>
    </row>
    <row r="22" spans="1:10" x14ac:dyDescent="0.25">
      <c r="D22">
        <v>75</v>
      </c>
      <c r="E22" t="s">
        <v>45</v>
      </c>
    </row>
    <row r="23" spans="1:10" x14ac:dyDescent="0.25">
      <c r="D23" s="2">
        <f>SUM(D21*D22)</f>
        <v>2869.83</v>
      </c>
      <c r="E23" t="s">
        <v>48</v>
      </c>
    </row>
  </sheetData>
  <hyperlinks>
    <hyperlink ref="J2" r:id="rId1" xr:uid="{C4182A51-B2A8-416C-943F-5A46A35835F6}"/>
    <hyperlink ref="J4" r:id="rId2" xr:uid="{C8DCA1ED-12D9-47D0-92E1-8080DB14EAB3}"/>
    <hyperlink ref="J5" r:id="rId3" xr:uid="{382B1B69-7C5F-4468-94F8-2882C993F583}"/>
    <hyperlink ref="J6" r:id="rId4" xr:uid="{4EDED880-A4DC-4A5A-AE0F-9D7F0D3F7816}"/>
    <hyperlink ref="J9" r:id="rId5" xr:uid="{2DC8603D-0A89-47B6-9EF2-68EB9DB2CF56}"/>
    <hyperlink ref="J10" r:id="rId6" xr:uid="{FE97F6E4-014C-410F-A917-17CD2325A979}"/>
    <hyperlink ref="J11" r:id="rId7" xr:uid="{DE382ADA-A750-43C7-B4BE-616209CC2D6D}"/>
    <hyperlink ref="J15" r:id="rId8" xr:uid="{9FB952BC-4F34-4F6E-8919-360CD0350233}"/>
    <hyperlink ref="J17" r:id="rId9" xr:uid="{6F5AD1C6-0744-4F99-AF78-2C7D6BC904A3}"/>
    <hyperlink ref="J18" r:id="rId10" xr:uid="{56619F22-28E5-49CC-9058-191172A4EF2C}"/>
    <hyperlink ref="J12" r:id="rId11" xr:uid="{2CEBCE69-E65D-4452-B0A6-DAC1A0034997}"/>
    <hyperlink ref="J16" r:id="rId12" xr:uid="{6541C708-61D8-4B52-9137-CE62F128F582}"/>
    <hyperlink ref="J8" r:id="rId13" xr:uid="{074C46C4-1604-4442-A877-DBFD9B61D716}"/>
    <hyperlink ref="J7" r:id="rId14" xr:uid="{08460866-EE24-4DDE-A4B0-FB9692FADCAB}"/>
    <hyperlink ref="J13" r:id="rId15" xr:uid="{2160EF5F-78DE-432E-8257-85922D292B1F}"/>
  </hyperlinks>
  <pageMargins left="0.7" right="0.7" top="0.75" bottom="0.75" header="0.3" footer="0.3"/>
  <pageSetup orientation="portrait" r:id="rId16"/>
  <legacyDrawing r:id="rId17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18F86-BB93-46FA-9760-3566465D3B5D}">
  <dimension ref="A1:J12"/>
  <sheetViews>
    <sheetView workbookViewId="0"/>
  </sheetViews>
  <sheetFormatPr defaultRowHeight="15" x14ac:dyDescent="0.25"/>
  <cols>
    <col min="1" max="1" width="25.7109375" bestFit="1" customWidth="1"/>
    <col min="2" max="2" width="10" bestFit="1" customWidth="1"/>
    <col min="3" max="3" width="9" bestFit="1" customWidth="1"/>
    <col min="4" max="4" width="13.85546875" bestFit="1" customWidth="1"/>
    <col min="5" max="5" width="14.28515625" bestFit="1" customWidth="1"/>
    <col min="6" max="6" width="8.5703125" bestFit="1" customWidth="1"/>
    <col min="7" max="7" width="9.28515625" bestFit="1" customWidth="1"/>
    <col min="8" max="8" width="9.7109375" bestFit="1" customWidth="1"/>
    <col min="9" max="9" width="10.42578125" bestFit="1" customWidth="1"/>
    <col min="10" max="10" width="86.28515625" bestFit="1" customWidth="1"/>
  </cols>
  <sheetData>
    <row r="1" spans="1:10" x14ac:dyDescent="0.25">
      <c r="A1" t="s">
        <v>0</v>
      </c>
      <c r="B1" t="s">
        <v>43</v>
      </c>
      <c r="C1" t="s">
        <v>4</v>
      </c>
      <c r="D1" t="s">
        <v>38</v>
      </c>
      <c r="E1" t="s">
        <v>1</v>
      </c>
      <c r="F1" t="s">
        <v>41</v>
      </c>
      <c r="G1" t="s">
        <v>42</v>
      </c>
      <c r="H1" t="s">
        <v>39</v>
      </c>
      <c r="I1" t="s">
        <v>46</v>
      </c>
      <c r="J1" t="s">
        <v>44</v>
      </c>
    </row>
    <row r="2" spans="1:10" x14ac:dyDescent="0.25">
      <c r="A2" t="s">
        <v>2</v>
      </c>
      <c r="B2">
        <v>1</v>
      </c>
      <c r="C2" s="2">
        <f>SUM(G2/F2)</f>
        <v>1.2036</v>
      </c>
      <c r="D2" s="2">
        <f>SUM(C2*B2)</f>
        <v>1.2036</v>
      </c>
      <c r="E2" t="s">
        <v>3</v>
      </c>
      <c r="F2" s="4">
        <v>1</v>
      </c>
      <c r="G2" s="2">
        <f>SUM(I2/H2)</f>
        <v>1.2036</v>
      </c>
      <c r="H2" s="5">
        <f>ROUNDUP(SUM(B2*D11/F2), 0)</f>
        <v>75</v>
      </c>
      <c r="I2" s="2">
        <v>90.27</v>
      </c>
      <c r="J2" s="3" t="s">
        <v>6</v>
      </c>
    </row>
    <row r="3" spans="1:10" x14ac:dyDescent="0.25">
      <c r="C3" s="2"/>
      <c r="D3" s="2"/>
      <c r="F3" s="4"/>
      <c r="G3" s="2"/>
      <c r="H3" s="5"/>
      <c r="I3" s="2"/>
      <c r="J3" s="3"/>
    </row>
    <row r="4" spans="1:10" x14ac:dyDescent="0.25">
      <c r="A4" t="s">
        <v>7</v>
      </c>
      <c r="B4">
        <v>1</v>
      </c>
      <c r="C4" s="2">
        <f t="shared" ref="C4:C7" si="0">SUM(G4/F4)</f>
        <v>0.43</v>
      </c>
      <c r="D4" s="2">
        <f>SUM(C4*B4)</f>
        <v>0.43</v>
      </c>
      <c r="E4" t="s">
        <v>9</v>
      </c>
      <c r="F4" s="4">
        <v>1</v>
      </c>
      <c r="G4" s="2">
        <v>0.43</v>
      </c>
      <c r="H4" s="5">
        <f>ROUNDUP(SUM(B4*D11/F4), 0)</f>
        <v>75</v>
      </c>
      <c r="I4" s="2">
        <f t="shared" ref="I4:I7" si="1">SUM(G4*H4)</f>
        <v>32.25</v>
      </c>
      <c r="J4" s="1" t="s">
        <v>22</v>
      </c>
    </row>
    <row r="5" spans="1:10" x14ac:dyDescent="0.25">
      <c r="A5" t="s">
        <v>52</v>
      </c>
      <c r="B5">
        <v>2</v>
      </c>
      <c r="C5" s="2">
        <f t="shared" si="0"/>
        <v>0.6</v>
      </c>
      <c r="D5" s="2">
        <f>SUM(C5*B5)</f>
        <v>1.2</v>
      </c>
      <c r="E5" t="s">
        <v>9</v>
      </c>
      <c r="F5" s="4">
        <v>1</v>
      </c>
      <c r="G5" s="2">
        <v>0.6</v>
      </c>
      <c r="H5" s="5">
        <f>ROUNDUP(SUM(B5*D11/F5), 0)</f>
        <v>150</v>
      </c>
      <c r="I5" s="2">
        <f t="shared" si="1"/>
        <v>90</v>
      </c>
      <c r="J5" s="1" t="s">
        <v>23</v>
      </c>
    </row>
    <row r="6" spans="1:10" x14ac:dyDescent="0.25">
      <c r="A6" t="s">
        <v>53</v>
      </c>
      <c r="B6">
        <v>2</v>
      </c>
      <c r="C6" s="2">
        <f t="shared" si="0"/>
        <v>0.6</v>
      </c>
      <c r="D6" s="2">
        <f>SUM(C6*B6)</f>
        <v>1.2</v>
      </c>
      <c r="E6" t="s">
        <v>9</v>
      </c>
      <c r="F6" s="4">
        <v>1</v>
      </c>
      <c r="G6" s="2">
        <v>0.6</v>
      </c>
      <c r="H6" s="5">
        <f>ROUNDUP(SUM(B6*D11/F6), 0)</f>
        <v>150</v>
      </c>
      <c r="I6" s="2">
        <f t="shared" si="1"/>
        <v>90</v>
      </c>
      <c r="J6" s="1" t="s">
        <v>24</v>
      </c>
    </row>
    <row r="7" spans="1:10" x14ac:dyDescent="0.25">
      <c r="A7" t="s">
        <v>10</v>
      </c>
      <c r="B7">
        <v>1</v>
      </c>
      <c r="C7" s="2">
        <f t="shared" si="0"/>
        <v>0.17</v>
      </c>
      <c r="D7" s="2">
        <f>SUM(C7*B7)</f>
        <v>0.17</v>
      </c>
      <c r="E7" t="s">
        <v>9</v>
      </c>
      <c r="F7" s="4">
        <v>1</v>
      </c>
      <c r="G7" s="2">
        <v>0.17</v>
      </c>
      <c r="H7" s="5">
        <f>ROUNDUP(SUM(B7*D11/F7), 0)</f>
        <v>75</v>
      </c>
      <c r="I7" s="2">
        <f t="shared" si="1"/>
        <v>12.750000000000002</v>
      </c>
      <c r="J7" s="1" t="s">
        <v>25</v>
      </c>
    </row>
    <row r="8" spans="1:10" x14ac:dyDescent="0.25">
      <c r="C8" s="2"/>
      <c r="D8" s="2"/>
      <c r="F8" s="2"/>
      <c r="G8" s="2"/>
    </row>
    <row r="10" spans="1:10" x14ac:dyDescent="0.25">
      <c r="D10" s="2">
        <f>SUM(D2:D7)</f>
        <v>4.2035999999999998</v>
      </c>
      <c r="E10" t="s">
        <v>12</v>
      </c>
      <c r="I10" s="6">
        <f>SUM(I2:I7)</f>
        <v>315.27</v>
      </c>
      <c r="J10" t="s">
        <v>47</v>
      </c>
    </row>
    <row r="11" spans="1:10" x14ac:dyDescent="0.25">
      <c r="D11">
        <v>75</v>
      </c>
      <c r="E11" t="s">
        <v>45</v>
      </c>
    </row>
    <row r="12" spans="1:10" x14ac:dyDescent="0.25">
      <c r="D12" s="2">
        <f>SUM(D10*D11)</f>
        <v>315.27</v>
      </c>
      <c r="E12" t="s">
        <v>49</v>
      </c>
    </row>
  </sheetData>
  <hyperlinks>
    <hyperlink ref="J2" r:id="rId1" xr:uid="{D2F94A6E-47A8-4112-B96A-5A53A3F90582}"/>
    <hyperlink ref="J4" r:id="rId2" xr:uid="{BFD74336-8E70-4890-BD1A-5F1D7F6A317F}"/>
    <hyperlink ref="J6" r:id="rId3" xr:uid="{32C0668F-DD85-4DA3-9291-044846728FDC}"/>
    <hyperlink ref="J7" r:id="rId4" xr:uid="{AA702E99-1A07-498A-AA1B-B1DB370E2A34}"/>
    <hyperlink ref="J5" r:id="rId5" xr:uid="{AA4D3A34-025B-42E2-942D-EE72DC3400AD}"/>
  </hyperlinks>
  <pageMargins left="0.7" right="0.7" top="0.75" bottom="0.75" header="0.3" footer="0.3"/>
  <pageSetup orientation="portrait" r:id="rId6"/>
  <legacy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6A6D4-0EE0-4E2D-8C6F-AC051B356080}">
  <dimension ref="A1:J11"/>
  <sheetViews>
    <sheetView workbookViewId="0"/>
  </sheetViews>
  <sheetFormatPr defaultRowHeight="15" x14ac:dyDescent="0.25"/>
  <cols>
    <col min="1" max="1" width="25.7109375" bestFit="1" customWidth="1"/>
    <col min="2" max="2" width="10" bestFit="1" customWidth="1"/>
    <col min="3" max="3" width="9" bestFit="1" customWidth="1"/>
    <col min="4" max="4" width="13.85546875" bestFit="1" customWidth="1"/>
    <col min="5" max="5" width="14.28515625" bestFit="1" customWidth="1"/>
    <col min="6" max="6" width="8.5703125" bestFit="1" customWidth="1"/>
    <col min="7" max="7" width="9.28515625" bestFit="1" customWidth="1"/>
    <col min="8" max="8" width="9.7109375" bestFit="1" customWidth="1"/>
    <col min="9" max="9" width="10.42578125" bestFit="1" customWidth="1"/>
    <col min="10" max="10" width="86.28515625" bestFit="1" customWidth="1"/>
  </cols>
  <sheetData>
    <row r="1" spans="1:10" x14ac:dyDescent="0.25">
      <c r="A1" t="s">
        <v>0</v>
      </c>
      <c r="B1" t="s">
        <v>43</v>
      </c>
      <c r="C1" t="s">
        <v>4</v>
      </c>
      <c r="D1" t="s">
        <v>38</v>
      </c>
      <c r="E1" t="s">
        <v>1</v>
      </c>
      <c r="F1" t="s">
        <v>41</v>
      </c>
      <c r="G1" t="s">
        <v>42</v>
      </c>
      <c r="H1" t="s">
        <v>39</v>
      </c>
      <c r="I1" t="s">
        <v>46</v>
      </c>
      <c r="J1" t="s">
        <v>44</v>
      </c>
    </row>
    <row r="2" spans="1:10" x14ac:dyDescent="0.25">
      <c r="A2" t="s">
        <v>2</v>
      </c>
      <c r="B2">
        <v>1</v>
      </c>
      <c r="C2" s="2">
        <f>SUM(G2/F2)</f>
        <v>1.2036</v>
      </c>
      <c r="D2" s="2">
        <f>SUM(C2*B2)</f>
        <v>1.2036</v>
      </c>
      <c r="E2" t="s">
        <v>3</v>
      </c>
      <c r="F2" s="4">
        <v>1</v>
      </c>
      <c r="G2" s="2">
        <f>SUM(I2/H2)</f>
        <v>1.2036</v>
      </c>
      <c r="H2" s="5">
        <f>ROUNDUP(SUM(B2*D10/F2), 0)</f>
        <v>75</v>
      </c>
      <c r="I2" s="2">
        <v>90.27</v>
      </c>
      <c r="J2" s="3" t="s">
        <v>6</v>
      </c>
    </row>
    <row r="3" spans="1:10" x14ac:dyDescent="0.25">
      <c r="C3" s="2"/>
      <c r="D3" s="2"/>
      <c r="F3" s="4"/>
      <c r="G3" s="2"/>
      <c r="H3" s="5"/>
      <c r="I3" s="2"/>
      <c r="J3" s="3"/>
    </row>
    <row r="4" spans="1:10" x14ac:dyDescent="0.25">
      <c r="A4" t="s">
        <v>7</v>
      </c>
      <c r="B4">
        <v>1</v>
      </c>
      <c r="C4" s="2">
        <f>SUM(G4/F4)</f>
        <v>0.43</v>
      </c>
      <c r="D4" s="2">
        <f>SUM(C4*B4)</f>
        <v>0.43</v>
      </c>
      <c r="E4" t="s">
        <v>9</v>
      </c>
      <c r="F4" s="4">
        <v>1</v>
      </c>
      <c r="G4" s="2">
        <v>0.43</v>
      </c>
      <c r="H4" s="5">
        <f>ROUNDUP(SUM(B4*D10/F4), 0)</f>
        <v>75</v>
      </c>
      <c r="I4" s="2">
        <f t="shared" ref="I4:I6" si="0">SUM(G4*H4)</f>
        <v>32.25</v>
      </c>
      <c r="J4" s="1" t="s">
        <v>22</v>
      </c>
    </row>
    <row r="5" spans="1:10" x14ac:dyDescent="0.25">
      <c r="A5" t="s">
        <v>51</v>
      </c>
      <c r="B5">
        <v>4</v>
      </c>
      <c r="C5" s="2">
        <f t="shared" ref="C5:C6" si="1">SUM(G5/F5)</f>
        <v>0.99</v>
      </c>
      <c r="D5" s="2">
        <f>SUM(C5*B5)</f>
        <v>3.96</v>
      </c>
      <c r="E5" t="s">
        <v>9</v>
      </c>
      <c r="F5" s="4">
        <v>1</v>
      </c>
      <c r="G5" s="2">
        <v>0.99</v>
      </c>
      <c r="H5" s="5">
        <f>ROUNDUP(SUM(B5*D10/F5), 0)</f>
        <v>300</v>
      </c>
      <c r="I5" s="2">
        <f t="shared" si="0"/>
        <v>297</v>
      </c>
      <c r="J5" s="1" t="s">
        <v>50</v>
      </c>
    </row>
    <row r="6" spans="1:10" x14ac:dyDescent="0.25">
      <c r="A6" t="s">
        <v>10</v>
      </c>
      <c r="B6">
        <v>1</v>
      </c>
      <c r="C6" s="2">
        <f t="shared" si="1"/>
        <v>0.17</v>
      </c>
      <c r="D6" s="2">
        <f>SUM(C6*B6)</f>
        <v>0.17</v>
      </c>
      <c r="E6" t="s">
        <v>9</v>
      </c>
      <c r="F6" s="4">
        <v>1</v>
      </c>
      <c r="G6" s="2">
        <v>0.17</v>
      </c>
      <c r="H6" s="5">
        <f>ROUNDUP(SUM(B6*D10/F6), 0)</f>
        <v>75</v>
      </c>
      <c r="I6" s="2">
        <f t="shared" si="0"/>
        <v>12.750000000000002</v>
      </c>
      <c r="J6" s="1" t="s">
        <v>25</v>
      </c>
    </row>
    <row r="7" spans="1:10" x14ac:dyDescent="0.25">
      <c r="C7" s="2"/>
      <c r="D7" s="2"/>
      <c r="F7" s="2"/>
      <c r="G7" s="2"/>
    </row>
    <row r="9" spans="1:10" x14ac:dyDescent="0.25">
      <c r="D9" s="2">
        <f>SUM(D2:D6)</f>
        <v>5.7636000000000003</v>
      </c>
      <c r="E9" t="s">
        <v>12</v>
      </c>
      <c r="I9" s="6">
        <f>SUM(I2:I6)</f>
        <v>432.27</v>
      </c>
      <c r="J9" t="s">
        <v>47</v>
      </c>
    </row>
    <row r="10" spans="1:10" x14ac:dyDescent="0.25">
      <c r="D10">
        <v>75</v>
      </c>
      <c r="E10" t="s">
        <v>45</v>
      </c>
    </row>
    <row r="11" spans="1:10" x14ac:dyDescent="0.25">
      <c r="D11" s="2">
        <f>SUM(D9*D10)</f>
        <v>432.27000000000004</v>
      </c>
      <c r="E11" t="s">
        <v>49</v>
      </c>
    </row>
  </sheetData>
  <hyperlinks>
    <hyperlink ref="J2" r:id="rId1" xr:uid="{4843F101-C014-4A51-840F-75CD8885FD91}"/>
    <hyperlink ref="J4" r:id="rId2" xr:uid="{2310D023-2E13-432F-A344-A9BAB145F1E7}"/>
    <hyperlink ref="J6" r:id="rId3" xr:uid="{CCCCAB3A-252D-4947-AA69-A73893B9960F}"/>
    <hyperlink ref="J5" r:id="rId4" xr:uid="{8BDB17D9-837C-4D72-BFBA-0216972E3986}"/>
  </hyperlinks>
  <pageMargins left="0.7" right="0.7" top="0.75" bottom="0.75" header="0.3" footer="0.3"/>
  <pageSetup orientation="portrait" r:id="rId5"/>
  <legacyDrawing r:id="rId6"/>
</worksheet>
</file>

<file path=docMetadata/LabelInfo.xml><?xml version="1.0" encoding="utf-8"?>
<clbl:labelList xmlns:clbl="http://schemas.microsoft.com/office/2020/mipLabelMetadata">
  <clbl:label id="{aed08b9e-6013-4d94-8247-03aa66eb0c6a}" enabled="1" method="Standard" siteId="{d4d76e39-e33d-45e4-835c-f6f4f74b556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DC34_Cnet_Badge</vt:lpstr>
      <vt:lpstr>DC34_Cnet_Badge - Alt LED</vt:lpstr>
      <vt:lpstr>DC34_Cnet_SAO</vt:lpstr>
      <vt:lpstr>DC34_Cnet_SAO - Alt LED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Granat</dc:creator>
  <cp:lastModifiedBy>Jason Granat</cp:lastModifiedBy>
  <dcterms:created xsi:type="dcterms:W3CDTF">2015-06-05T18:17:20Z</dcterms:created>
  <dcterms:modified xsi:type="dcterms:W3CDTF">2026-06-05T16:11:24Z</dcterms:modified>
</cp:coreProperties>
</file>