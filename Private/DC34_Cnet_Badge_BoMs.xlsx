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My Drive\Dev\Arduino\DC34_Cnet_Badge\Private\"/>
    </mc:Choice>
  </mc:AlternateContent>
  <xr:revisionPtr revIDLastSave="0" documentId="13_ncr:1_{86B6BCB6-625F-4C18-9D3D-B524C9606D5C}" xr6:coauthVersionLast="47" xr6:coauthVersionMax="47" xr10:uidLastSave="{00000000-0000-0000-0000-000000000000}"/>
  <bookViews>
    <workbookView xWindow="-96" yWindow="360" windowWidth="23232" windowHeight="14136" xr2:uid="{00000000-000D-0000-FFFF-FFFF00000000}"/>
  </bookViews>
  <sheets>
    <sheet name="DC34_Cnet_Badge" sheetId="1" r:id="rId1"/>
    <sheet name="DC34_Cnet_SA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2" l="1"/>
  <c r="D17" i="1"/>
  <c r="D19" i="1" s="1"/>
  <c r="D5" i="2"/>
  <c r="D4" i="2"/>
  <c r="B3" i="2"/>
  <c r="D3" i="2" s="1"/>
  <c r="B2" i="2"/>
  <c r="C2" i="2" s="1"/>
  <c r="B15" i="1"/>
  <c r="B14" i="1"/>
  <c r="B13" i="1"/>
  <c r="D13" i="1" s="1"/>
  <c r="B12" i="1"/>
  <c r="B11" i="1"/>
  <c r="B10" i="1"/>
  <c r="D10" i="1" s="1"/>
  <c r="B9" i="1"/>
  <c r="B8" i="1"/>
  <c r="B7" i="1"/>
  <c r="D7" i="1" s="1"/>
  <c r="B6" i="1"/>
  <c r="D6" i="1" s="1"/>
  <c r="B5" i="1"/>
  <c r="B4" i="1"/>
  <c r="D4" i="1" s="1"/>
  <c r="B3" i="1"/>
  <c r="D3" i="1" s="1"/>
  <c r="D9" i="1"/>
  <c r="D12" i="1"/>
  <c r="D14" i="1"/>
  <c r="B2" i="1"/>
  <c r="D8" i="1"/>
  <c r="D5" i="1"/>
  <c r="C10" i="1"/>
  <c r="C9" i="1"/>
  <c r="C8" i="1"/>
  <c r="C4" i="1"/>
  <c r="C3" i="1"/>
  <c r="C5" i="1"/>
  <c r="D15" i="1"/>
  <c r="D11" i="1"/>
  <c r="C2" i="1"/>
  <c r="D8" i="2" l="1"/>
  <c r="D10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tc={63B304A3-4F7D-4B33-BA03-0DD91D288F2E}</author>
  </authors>
  <commentList>
    <comment ref="D2" authorId="0" shapeId="0" xr:uid="{63B304A3-4F7D-4B33-BA03-0DD91D288F2E}">
      <text>
        <t>[Threaded comment]
Your version of Excel allows you to read this threaded comment; however, any edits to it will get removed if the file is opened in a newer version of Excel. Learn more: https://go.microsoft.com/fwlink/?linkid=870924
Comment:
    44% Duty &amp; Tax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tc={F68B475B-3476-41B8-B64B-7A1360EC9904}</author>
  </authors>
  <commentList>
    <comment ref="D2" authorId="0" shapeId="0" xr:uid="{F68B475B-3476-41B8-B64B-7A1360EC990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Order summary
Subtotal:$ 75.74
Shipping Cost:$ 28.70
DTP service fee:$ 7.00
3% OFF- $ 2.27
Bank Handling Fee$ 30.00
Duty &amp; Tax: $ 33.06
All TotalUS $172.23
</t>
      </text>
    </comment>
  </commentList>
</comments>
</file>

<file path=xl/sharedStrings.xml><?xml version="1.0" encoding="utf-8"?>
<sst xmlns="http://schemas.openxmlformats.org/spreadsheetml/2006/main" count="75" uniqueCount="47">
  <si>
    <t>Part</t>
  </si>
  <si>
    <t>Qty</t>
  </si>
  <si>
    <t>Supplier</t>
  </si>
  <si>
    <t>PCB</t>
  </si>
  <si>
    <t>PCBWay</t>
  </si>
  <si>
    <t>Unit Cost</t>
  </si>
  <si>
    <t>Total Cost</t>
  </si>
  <si>
    <t>LiPo Charger</t>
  </si>
  <si>
    <t>Amazon</t>
  </si>
  <si>
    <t>Link</t>
  </si>
  <si>
    <t>https://www.pcbway.com/QuickOrderOnline.aspx</t>
  </si>
  <si>
    <t>https://www.amazon.com/dp/B09JZFXD1X/?coliid=IDVYXXP17S14V&amp;colid=12Q39W8V03L12&amp;psc=1&amp;ref_=list_c_wl_lv_ov_lig_dp_it</t>
  </si>
  <si>
    <t>LiPo Battery</t>
  </si>
  <si>
    <t>https://www.amazon.com/dp/B07BTTKM8H/?coliid=I1ZP1DFBEL62J&amp;colid=12Q39W8V03L12&amp;psc=1&amp;ref_=list_c_wl_lv_ov_lig_dp_it</t>
  </si>
  <si>
    <t>Exttended Cost</t>
  </si>
  <si>
    <t>SAO Header</t>
  </si>
  <si>
    <t>https://www.digikey.com/en/products/detail/sullins-connector-solutions/SFH11-NBPC-D03-ST-BK/4558818</t>
  </si>
  <si>
    <t>DigiKey</t>
  </si>
  <si>
    <t>Pin Header</t>
  </si>
  <si>
    <t>https://www.digikey.com/en/products/detail/adam-tech/PH1-16-UA/9830344</t>
  </si>
  <si>
    <t>Static Bag</t>
  </si>
  <si>
    <t>https://www.digikey.com/en/products/detail/scs/30068/3430458</t>
  </si>
  <si>
    <t>LiPo Header</t>
  </si>
  <si>
    <t>https://www.digikey.com/en/products/detail/jst-sales-america-inc/S2B-PH-K-S/926626</t>
  </si>
  <si>
    <t>Switch</t>
  </si>
  <si>
    <t>https://www.digikey.com/en/products/detail/nidec-components-corporation/CL-SB-22C-11/3507850</t>
  </si>
  <si>
    <t>Cost Per Badge</t>
  </si>
  <si>
    <t>SD Card</t>
  </si>
  <si>
    <t>https://www.amazon.com/dp/B08G8JVZ1Y/?coliid=I150166R8ZNXFJ&amp;colid=12Q39W8V03L12&amp;psc=1&amp;ref_=list_c_wl_lv_ov_lig_dp_it</t>
  </si>
  <si>
    <t>ESP32</t>
  </si>
  <si>
    <t>https://www.amazon.com/dp/B0D8T53CQ5/?coliid=I3VJO6C85UICKN&amp;colid=12Q39W8V03L12&amp;psc=1&amp;ref_=list_c_wl_lv_ov_lig_dp_it</t>
  </si>
  <si>
    <t>SD Card Reader</t>
  </si>
  <si>
    <t>https://www.amazon.com/dp/B0BV8ZQ81F/?coliid=I10OQA73D14EXB&amp;colid=12Q39W8V03L12&amp;psc=1&amp;ref_=list_c_wl_lv_ov_lig_dp_it</t>
  </si>
  <si>
    <t>RFID Reader</t>
  </si>
  <si>
    <t>https://www.amazon.com/dp/B0BDF6JT7M/?coliid=I2S1EGSPQTW99D&amp;colid=12Q39W8V03L12&amp;psc=1&amp;ref_=list_c_wl_lv_ov_lig_dp_it</t>
  </si>
  <si>
    <t>Display</t>
  </si>
  <si>
    <t>https://www.amazon.com/dp/B0B7TFRNN1/?coliid=IF5R7WVWDN4C9&amp;colid=12Q39W8V03L12&amp;psc=1&amp;ref_=list_c_wl_lv_ov_lig_dp_it</t>
  </si>
  <si>
    <t>RFID Tags</t>
  </si>
  <si>
    <t>https://www.amazon.com/dp/B0CMXHWTYH/?coliid=I1O4MENNAUG3KH&amp;colid=12Q39W8V03L12&amp;psc=1&amp;ref_=list_c_wl_lv_ov_lig_dp_it</t>
  </si>
  <si>
    <t>https://www.digikey.com/en/products/detail/w%C3%BCrth-elektronik/61200621621/4846913</t>
  </si>
  <si>
    <t>Slow LED</t>
  </si>
  <si>
    <t>Fast LED</t>
  </si>
  <si>
    <t>https://www.digikey.com/en/products/detail/sparkfun-electronics/11448/5673782</t>
  </si>
  <si>
    <t>https://www.digikey.com/en/products/detail/sparkfun-electronics/11449/5673783</t>
  </si>
  <si>
    <t>Cost Per SAO</t>
  </si>
  <si>
    <t>Statoc Bag</t>
  </si>
  <si>
    <t>https://www.digikey.com/en/products/detail/scs/30035/3430456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</si>
</sst>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2" fillId="0" borderId="0" xfId="2"/>
    <xf numFmtId="44" fontId="0" fillId="0" borderId="0" xfId="1" applyFont="1"/>
    <xf numFmtId="0" fontId="2" fillId="0" borderId="0" xfId="2" applyFill="1"/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son Granat" id="{9775AD90-BCF0-447F-9730-3B57DA6B0927}" userId="S::jgranat@compunet.biz::817deef9-3421-4ecc-b869-5f282e788df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" dT="2026-01-27T17:46:12.02" personId="{9775AD90-BCF0-447F-9730-3B57DA6B0927}" id="{63B304A3-4F7D-4B33-BA03-0DD91D288F2E}">
    <text>44% Duty &amp; Tax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2" dT="2026-01-27T17:45:11.21" personId="{9775AD90-BCF0-447F-9730-3B57DA6B0927}" id="{F68B475B-3476-41B8-B64B-7A1360EC9904}">
    <text xml:space="preserve">Order summary
Subtotal:$ 75.74
Shipping Cost:$ 28.70
DTP service fee:$ 7.00
3% OFF- $ 2.27
Bank Handling Fee$ 30.00
Duty &amp; Tax: $ 33.06
All TotalUS $172.23
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dp/B0B7TFRNN1/?coliid=IF5R7WVWDN4C9&amp;colid=12Q39W8V03L12&amp;psc=1&amp;ref_=list_c_wl_lv_ov_lig_dp_it" TargetMode="External"/><Relationship Id="rId13" Type="http://schemas.openxmlformats.org/officeDocument/2006/relationships/hyperlink" Target="https://www.digikey.com/en/products/detail/jst-sales-america-inc/S2B-PH-K-S/926626" TargetMode="External"/><Relationship Id="rId18" Type="http://schemas.microsoft.com/office/2017/10/relationships/threadedComment" Target="../threadedComments/threadedComment1.xml"/><Relationship Id="rId3" Type="http://schemas.openxmlformats.org/officeDocument/2006/relationships/hyperlink" Target="https://www.amazon.com/dp/B0BV8ZQ81F/?coliid=I10OQA73D14EXB&amp;colid=12Q39W8V03L12&amp;psc=1&amp;ref_=list_c_wl_lv_ov_lig_dp_it" TargetMode="External"/><Relationship Id="rId7" Type="http://schemas.openxmlformats.org/officeDocument/2006/relationships/hyperlink" Target="https://www.amazon.com/dp/B0BDF6JT7M/?coliid=I2S1EGSPQTW99D&amp;colid=12Q39W8V03L12&amp;psc=1&amp;ref_=list_c_wl_lv_ov_lig_dp_it" TargetMode="External"/><Relationship Id="rId12" Type="http://schemas.openxmlformats.org/officeDocument/2006/relationships/hyperlink" Target="https://www.digikey.com/en/products/detail/scs/30068/3430458" TargetMode="External"/><Relationship Id="rId17" Type="http://schemas.openxmlformats.org/officeDocument/2006/relationships/comments" Target="../comments1.xml"/><Relationship Id="rId2" Type="http://schemas.openxmlformats.org/officeDocument/2006/relationships/hyperlink" Target="https://www.amazon.com/dp/B0D8T53CQ5/?coliid=I3VJO6C85UICKN&amp;colid=12Q39W8V03L12&amp;psc=1&amp;ref_=list_c_wl_lv_ov_lig_dp_it" TargetMode="External"/><Relationship Id="rId16" Type="http://schemas.openxmlformats.org/officeDocument/2006/relationships/vmlDrawing" Target="../drawings/vmlDrawing1.vml"/><Relationship Id="rId1" Type="http://schemas.openxmlformats.org/officeDocument/2006/relationships/hyperlink" Target="https://www.pcbway.com/QuickOrderOnline.aspx" TargetMode="External"/><Relationship Id="rId6" Type="http://schemas.openxmlformats.org/officeDocument/2006/relationships/hyperlink" Target="https://www.amazon.com/dp/B07BTTKM8H/?coliid=I1ZP1DFBEL62J&amp;colid=12Q39W8V03L12&amp;psc=1&amp;ref_=list_c_wl_lv_ov_lig_dp_it" TargetMode="External"/><Relationship Id="rId11" Type="http://schemas.openxmlformats.org/officeDocument/2006/relationships/hyperlink" Target="https://www.digikey.com/en/products/detail/adam-tech/PH1-16-UA/9830344" TargetMode="External"/><Relationship Id="rId5" Type="http://schemas.openxmlformats.org/officeDocument/2006/relationships/hyperlink" Target="https://www.amazon.com/dp/B09JZFXD1X/?coliid=IDVYXXP17S14V&amp;colid=12Q39W8V03L12&amp;psc=1&amp;ref_=list_c_wl_lv_ov_lig_dp_it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www.digikey.com/en/products/detail/sullins-connector-solutions/SFH11-NBPC-D03-ST-BK/4558818" TargetMode="External"/><Relationship Id="rId4" Type="http://schemas.openxmlformats.org/officeDocument/2006/relationships/hyperlink" Target="https://www.amazon.com/dp/B08G8JVZ1Y/?coliid=I150166R8ZNXFJ&amp;colid=12Q39W8V03L12&amp;psc=1&amp;ref_=list_c_wl_lv_ov_lig_dp_it" TargetMode="External"/><Relationship Id="rId9" Type="http://schemas.openxmlformats.org/officeDocument/2006/relationships/hyperlink" Target="https://www.amazon.com/dp/B0CMXHWTYH/?coliid=I1O4MENNAUG3KH&amp;colid=12Q39W8V03L12&amp;psc=1&amp;ref_=list_c_wl_lv_ov_lig_dp_it" TargetMode="External"/><Relationship Id="rId14" Type="http://schemas.openxmlformats.org/officeDocument/2006/relationships/hyperlink" Target="https://www.digikey.com/en/products/detail/nidec-components-corporation/CL-SB-22C-11/3507850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omments" Target="../comments2.xml"/><Relationship Id="rId3" Type="http://schemas.openxmlformats.org/officeDocument/2006/relationships/hyperlink" Target="https://www.digikey.com/en/products/detail/sparkfun-electronics/11448/5673782" TargetMode="External"/><Relationship Id="rId7" Type="http://schemas.openxmlformats.org/officeDocument/2006/relationships/vmlDrawing" Target="../drawings/vmlDrawing2.vml"/><Relationship Id="rId2" Type="http://schemas.openxmlformats.org/officeDocument/2006/relationships/hyperlink" Target="https://www.digikey.com/en/products/detail/w%C3%BCrth-elektronik/61200621621/4846913" TargetMode="External"/><Relationship Id="rId1" Type="http://schemas.openxmlformats.org/officeDocument/2006/relationships/hyperlink" Target="https://www.pcbway.com/QuickOrderOnline.asp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www.digikey.com/en/products/detail/scs/30035/3430456" TargetMode="External"/><Relationship Id="rId4" Type="http://schemas.openxmlformats.org/officeDocument/2006/relationships/hyperlink" Target="https://www.digikey.com/en/products/detail/sparkfun-electronics/11449/5673783" TargetMode="External"/><Relationship Id="rId9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9"/>
  <sheetViews>
    <sheetView tabSelected="1" workbookViewId="0"/>
  </sheetViews>
  <sheetFormatPr defaultRowHeight="14.4" x14ac:dyDescent="0.55000000000000004"/>
  <cols>
    <col min="1" max="1" width="12.9453125" bestFit="1" customWidth="1"/>
    <col min="4" max="4" width="9.7890625" bestFit="1" customWidth="1"/>
    <col min="6" max="6" width="111.41796875" bestFit="1" customWidth="1"/>
  </cols>
  <sheetData>
    <row r="1" spans="1:6" x14ac:dyDescent="0.55000000000000004">
      <c r="A1" t="s">
        <v>0</v>
      </c>
      <c r="B1" t="s">
        <v>1</v>
      </c>
      <c r="C1" t="s">
        <v>5</v>
      </c>
      <c r="D1" t="s">
        <v>14</v>
      </c>
      <c r="E1" t="s">
        <v>2</v>
      </c>
      <c r="F1" t="s">
        <v>9</v>
      </c>
    </row>
    <row r="2" spans="1:6" x14ac:dyDescent="0.55000000000000004">
      <c r="A2" t="s">
        <v>3</v>
      </c>
      <c r="B2">
        <f>SUM(D18)</f>
        <v>100</v>
      </c>
      <c r="C2" s="2">
        <f>SUM(D2/B2)</f>
        <v>5.8985000000000003</v>
      </c>
      <c r="D2" s="2">
        <v>589.85</v>
      </c>
      <c r="E2" t="s">
        <v>4</v>
      </c>
      <c r="F2" s="3" t="s">
        <v>10</v>
      </c>
    </row>
    <row r="3" spans="1:6" x14ac:dyDescent="0.55000000000000004">
      <c r="A3" t="s">
        <v>29</v>
      </c>
      <c r="B3">
        <f>SUM(D18)</f>
        <v>100</v>
      </c>
      <c r="C3" s="2">
        <f>SUM(16.99/3)</f>
        <v>5.6633333333333331</v>
      </c>
      <c r="D3" s="2">
        <f>SUM(B3*C3)</f>
        <v>566.33333333333326</v>
      </c>
      <c r="E3" t="s">
        <v>8</v>
      </c>
      <c r="F3" s="1" t="s">
        <v>30</v>
      </c>
    </row>
    <row r="4" spans="1:6" x14ac:dyDescent="0.55000000000000004">
      <c r="A4" t="s">
        <v>31</v>
      </c>
      <c r="B4">
        <f>SUM(D18)</f>
        <v>100</v>
      </c>
      <c r="C4" s="2">
        <f>SUM(6.99/5)</f>
        <v>1.3980000000000001</v>
      </c>
      <c r="D4" s="2">
        <f t="shared" ref="D4:D5" si="0">SUM(B4*C4)</f>
        <v>139.80000000000001</v>
      </c>
      <c r="E4" t="s">
        <v>8</v>
      </c>
      <c r="F4" s="1" t="s">
        <v>32</v>
      </c>
    </row>
    <row r="5" spans="1:6" x14ac:dyDescent="0.55000000000000004">
      <c r="A5" t="s">
        <v>27</v>
      </c>
      <c r="B5">
        <f>SUM(D18)</f>
        <v>100</v>
      </c>
      <c r="C5" s="2">
        <f>SUM(29.99/5)</f>
        <v>5.9979999999999993</v>
      </c>
      <c r="D5" s="2">
        <f t="shared" si="0"/>
        <v>599.79999999999995</v>
      </c>
      <c r="E5" t="s">
        <v>8</v>
      </c>
      <c r="F5" s="1" t="s">
        <v>28</v>
      </c>
    </row>
    <row r="6" spans="1:6" x14ac:dyDescent="0.55000000000000004">
      <c r="A6" t="s">
        <v>7</v>
      </c>
      <c r="B6">
        <f>SUM(D18)</f>
        <v>100</v>
      </c>
      <c r="C6" s="2">
        <v>0.999</v>
      </c>
      <c r="D6" s="2">
        <f>SUM(B6*C6)</f>
        <v>99.9</v>
      </c>
      <c r="E6" t="s">
        <v>8</v>
      </c>
      <c r="F6" s="3" t="s">
        <v>11</v>
      </c>
    </row>
    <row r="7" spans="1:6" x14ac:dyDescent="0.55000000000000004">
      <c r="A7" t="s">
        <v>12</v>
      </c>
      <c r="B7">
        <f>SUM(D18)</f>
        <v>100</v>
      </c>
      <c r="C7" s="2">
        <v>8.99</v>
      </c>
      <c r="D7" s="2">
        <f>SUM(B7*C7)</f>
        <v>899</v>
      </c>
      <c r="E7" t="s">
        <v>8</v>
      </c>
      <c r="F7" s="3" t="s">
        <v>13</v>
      </c>
    </row>
    <row r="8" spans="1:6" x14ac:dyDescent="0.55000000000000004">
      <c r="A8" t="s">
        <v>33</v>
      </c>
      <c r="B8">
        <f>SUM(D18)</f>
        <v>100</v>
      </c>
      <c r="C8" s="2">
        <f>SUM(6.99/2)</f>
        <v>3.4950000000000001</v>
      </c>
      <c r="D8" s="2">
        <f>SUM(B8*C8)</f>
        <v>349.5</v>
      </c>
      <c r="E8" t="s">
        <v>8</v>
      </c>
      <c r="F8" s="1" t="s">
        <v>34</v>
      </c>
    </row>
    <row r="9" spans="1:6" x14ac:dyDescent="0.55000000000000004">
      <c r="A9" t="s">
        <v>35</v>
      </c>
      <c r="B9">
        <f>SUM(D18)</f>
        <v>100</v>
      </c>
      <c r="C9" s="2">
        <f>SUM(16.99/3)</f>
        <v>5.6633333333333331</v>
      </c>
      <c r="D9" s="2">
        <f t="shared" ref="D9:D10" si="1">SUM(B9*C9)</f>
        <v>566.33333333333326</v>
      </c>
      <c r="E9" t="s">
        <v>8</v>
      </c>
      <c r="F9" s="1" t="s">
        <v>36</v>
      </c>
    </row>
    <row r="10" spans="1:6" x14ac:dyDescent="0.55000000000000004">
      <c r="A10" t="s">
        <v>37</v>
      </c>
      <c r="B10">
        <f>SUM(D18)</f>
        <v>100</v>
      </c>
      <c r="C10" s="2">
        <f>SUM(50/14.99)</f>
        <v>3.3355570380253501</v>
      </c>
      <c r="D10" s="2">
        <f t="shared" si="1"/>
        <v>333.55570380253499</v>
      </c>
      <c r="E10" t="s">
        <v>8</v>
      </c>
      <c r="F10" s="1" t="s">
        <v>38</v>
      </c>
    </row>
    <row r="11" spans="1:6" x14ac:dyDescent="0.55000000000000004">
      <c r="A11" t="s">
        <v>15</v>
      </c>
      <c r="B11">
        <f>SUM(D18)</f>
        <v>100</v>
      </c>
      <c r="C11" s="2">
        <v>0.55000000000000004</v>
      </c>
      <c r="D11" s="2">
        <f>SUM(B11*C11)</f>
        <v>55.000000000000007</v>
      </c>
      <c r="E11" t="s">
        <v>17</v>
      </c>
      <c r="F11" s="1" t="s">
        <v>16</v>
      </c>
    </row>
    <row r="12" spans="1:6" x14ac:dyDescent="0.55000000000000004">
      <c r="A12" t="s">
        <v>18</v>
      </c>
      <c r="B12">
        <f>SUM(D18)</f>
        <v>100</v>
      </c>
      <c r="C12" s="2">
        <v>0.21</v>
      </c>
      <c r="D12" s="2">
        <f t="shared" ref="D12:D15" si="2">SUM(B12*C12)</f>
        <v>21</v>
      </c>
      <c r="E12" t="s">
        <v>17</v>
      </c>
      <c r="F12" s="1" t="s">
        <v>19</v>
      </c>
    </row>
    <row r="13" spans="1:6" x14ac:dyDescent="0.55000000000000004">
      <c r="A13" t="s">
        <v>20</v>
      </c>
      <c r="B13">
        <f>SUM(D18)</f>
        <v>100</v>
      </c>
      <c r="C13" s="2">
        <v>0.28000000000000003</v>
      </c>
      <c r="D13" s="2">
        <f t="shared" si="2"/>
        <v>28.000000000000004</v>
      </c>
      <c r="E13" t="s">
        <v>17</v>
      </c>
      <c r="F13" s="1" t="s">
        <v>21</v>
      </c>
    </row>
    <row r="14" spans="1:6" x14ac:dyDescent="0.55000000000000004">
      <c r="A14" t="s">
        <v>22</v>
      </c>
      <c r="B14">
        <f>SUM(D18)</f>
        <v>100</v>
      </c>
      <c r="C14" s="2">
        <v>0.1</v>
      </c>
      <c r="D14" s="2">
        <f t="shared" si="2"/>
        <v>10</v>
      </c>
      <c r="E14" t="s">
        <v>17</v>
      </c>
      <c r="F14" s="1" t="s">
        <v>23</v>
      </c>
    </row>
    <row r="15" spans="1:6" x14ac:dyDescent="0.55000000000000004">
      <c r="A15" t="s">
        <v>24</v>
      </c>
      <c r="B15">
        <f>SUM(D18)</f>
        <v>100</v>
      </c>
      <c r="C15" s="2">
        <v>1.37</v>
      </c>
      <c r="D15" s="2">
        <f t="shared" si="2"/>
        <v>137</v>
      </c>
      <c r="E15" t="s">
        <v>17</v>
      </c>
      <c r="F15" s="1" t="s">
        <v>25</v>
      </c>
    </row>
    <row r="16" spans="1:6" x14ac:dyDescent="0.55000000000000004">
      <c r="C16" s="2"/>
      <c r="D16" s="2"/>
    </row>
    <row r="17" spans="3:5" x14ac:dyDescent="0.55000000000000004">
      <c r="C17" s="2"/>
      <c r="D17" s="2">
        <f>SUM(D2:D15)</f>
        <v>4395.0723704692018</v>
      </c>
      <c r="E17" t="s">
        <v>6</v>
      </c>
    </row>
    <row r="18" spans="3:5" x14ac:dyDescent="0.55000000000000004">
      <c r="C18" s="2"/>
      <c r="D18">
        <v>100</v>
      </c>
      <c r="E18" t="s">
        <v>1</v>
      </c>
    </row>
    <row r="19" spans="3:5" x14ac:dyDescent="0.55000000000000004">
      <c r="D19" s="2">
        <f>SUM(D17/D18)</f>
        <v>43.950723704692017</v>
      </c>
      <c r="E19" t="s">
        <v>26</v>
      </c>
    </row>
  </sheetData>
  <hyperlinks>
    <hyperlink ref="F2" r:id="rId1" xr:uid="{8A5F3BBB-5F99-475B-96F2-11D9FCD7ED37}"/>
    <hyperlink ref="F3" r:id="rId2" xr:uid="{51AE0CEB-8FAF-4853-9942-E96D6F45732A}"/>
    <hyperlink ref="F4" r:id="rId3" xr:uid="{FF5C60DF-A604-4EC8-B0C2-C326F95F2874}"/>
    <hyperlink ref="F5" r:id="rId4" xr:uid="{3788F5C5-2562-4E54-B919-07C2535F57D6}"/>
    <hyperlink ref="F6" r:id="rId5" xr:uid="{C35217F1-0DDD-458F-B109-87A9CDDE8A16}"/>
    <hyperlink ref="F7" r:id="rId6" xr:uid="{26EE72E3-238A-4B76-B29F-CF9D8490F255}"/>
    <hyperlink ref="F8" r:id="rId7" xr:uid="{B456F246-3DF7-493C-B5F7-811964CC79A4}"/>
    <hyperlink ref="F9" r:id="rId8" xr:uid="{3A996D45-C7AC-4025-8C50-700614E86CB1}"/>
    <hyperlink ref="F10" r:id="rId9" xr:uid="{2FB7E3DD-BA22-45C7-BA1D-78D47DEBA22F}"/>
    <hyperlink ref="F11" r:id="rId10" xr:uid="{8AA433D2-FD50-49B4-B244-A00E51A7D327}"/>
    <hyperlink ref="F12" r:id="rId11" xr:uid="{1C67C280-5DB7-4EF4-8E23-09437BC12978}"/>
    <hyperlink ref="F13" r:id="rId12" xr:uid="{7B30A495-31CE-4D2B-8EC9-D7DCB72EA441}"/>
    <hyperlink ref="F14" r:id="rId13" xr:uid="{7BB51119-AE44-4A0B-AD10-0360BC83E7E0}"/>
    <hyperlink ref="F15" r:id="rId14" xr:uid="{3F2D8517-2278-44B2-969B-6D6B60B81ECA}"/>
  </hyperlinks>
  <pageMargins left="0.7" right="0.7" top="0.75" bottom="0.75" header="0.3" footer="0.3"/>
  <pageSetup orientation="portrait" r:id="rId15"/>
  <legacyDrawing r:id="rId1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BFF0B-E773-4691-9073-94CF02AFCD92}">
  <dimension ref="A1:F10"/>
  <sheetViews>
    <sheetView workbookViewId="0"/>
  </sheetViews>
  <sheetFormatPr defaultRowHeight="14.4" x14ac:dyDescent="0.55000000000000004"/>
  <cols>
    <col min="1" max="1" width="10.62890625" bestFit="1" customWidth="1"/>
    <col min="4" max="4" width="9.7890625" bestFit="1" customWidth="1"/>
    <col min="6" max="6" width="76.26171875" bestFit="1" customWidth="1"/>
  </cols>
  <sheetData>
    <row r="1" spans="1:6" x14ac:dyDescent="0.55000000000000004">
      <c r="A1" t="s">
        <v>0</v>
      </c>
      <c r="B1" t="s">
        <v>1</v>
      </c>
      <c r="C1" t="s">
        <v>5</v>
      </c>
      <c r="D1" t="s">
        <v>14</v>
      </c>
      <c r="E1" t="s">
        <v>2</v>
      </c>
      <c r="F1" t="s">
        <v>9</v>
      </c>
    </row>
    <row r="2" spans="1:6" x14ac:dyDescent="0.55000000000000004">
      <c r="A2" t="s">
        <v>3</v>
      </c>
      <c r="B2">
        <f>SUM(D9)</f>
        <v>100</v>
      </c>
      <c r="C2" s="2">
        <f>SUM(D2/B2)</f>
        <v>1.7222999999999999</v>
      </c>
      <c r="D2" s="2">
        <v>172.23</v>
      </c>
      <c r="E2" t="s">
        <v>4</v>
      </c>
      <c r="F2" s="3" t="s">
        <v>10</v>
      </c>
    </row>
    <row r="3" spans="1:6" x14ac:dyDescent="0.55000000000000004">
      <c r="A3" t="s">
        <v>15</v>
      </c>
      <c r="B3">
        <f>SUM(D9)</f>
        <v>100</v>
      </c>
      <c r="C3" s="2">
        <v>0.43</v>
      </c>
      <c r="D3" s="2">
        <f>SUM(B3*C3)</f>
        <v>43</v>
      </c>
      <c r="E3" t="s">
        <v>17</v>
      </c>
      <c r="F3" s="1" t="s">
        <v>39</v>
      </c>
    </row>
    <row r="4" spans="1:6" x14ac:dyDescent="0.55000000000000004">
      <c r="A4" t="s">
        <v>40</v>
      </c>
      <c r="B4">
        <v>200</v>
      </c>
      <c r="C4" s="2">
        <v>0.6</v>
      </c>
      <c r="D4" s="2">
        <f t="shared" ref="D4:D5" si="0">SUM(B4*C4)</f>
        <v>120</v>
      </c>
      <c r="E4" t="s">
        <v>17</v>
      </c>
      <c r="F4" s="1" t="s">
        <v>42</v>
      </c>
    </row>
    <row r="5" spans="1:6" x14ac:dyDescent="0.55000000000000004">
      <c r="A5" t="s">
        <v>41</v>
      </c>
      <c r="B5">
        <v>200</v>
      </c>
      <c r="C5" s="2">
        <v>0.6</v>
      </c>
      <c r="D5" s="2">
        <f t="shared" si="0"/>
        <v>120</v>
      </c>
      <c r="E5" t="s">
        <v>17</v>
      </c>
      <c r="F5" s="1" t="s">
        <v>43</v>
      </c>
    </row>
    <row r="6" spans="1:6" x14ac:dyDescent="0.55000000000000004">
      <c r="A6" t="s">
        <v>45</v>
      </c>
      <c r="B6">
        <v>100</v>
      </c>
      <c r="C6" s="2">
        <v>0.17</v>
      </c>
      <c r="D6" s="2">
        <f>SUM(B6*C6)</f>
        <v>17</v>
      </c>
      <c r="E6" t="s">
        <v>17</v>
      </c>
      <c r="F6" s="1" t="s">
        <v>46</v>
      </c>
    </row>
    <row r="7" spans="1:6" x14ac:dyDescent="0.55000000000000004">
      <c r="C7" s="2"/>
    </row>
    <row r="8" spans="1:6" x14ac:dyDescent="0.55000000000000004">
      <c r="C8" s="2"/>
      <c r="D8" s="2">
        <f>SUM(D2:D6)</f>
        <v>472.23</v>
      </c>
      <c r="E8" t="s">
        <v>6</v>
      </c>
    </row>
    <row r="9" spans="1:6" x14ac:dyDescent="0.55000000000000004">
      <c r="D9">
        <v>100</v>
      </c>
      <c r="E9" t="s">
        <v>1</v>
      </c>
    </row>
    <row r="10" spans="1:6" x14ac:dyDescent="0.55000000000000004">
      <c r="D10" s="2">
        <f>SUM(D8/D9)</f>
        <v>4.7223000000000006</v>
      </c>
      <c r="E10" t="s">
        <v>44</v>
      </c>
    </row>
  </sheetData>
  <hyperlinks>
    <hyperlink ref="F2" r:id="rId1" xr:uid="{1B362B7D-2222-4110-A703-A121A74F751B}"/>
    <hyperlink ref="F3" r:id="rId2" xr:uid="{582BCBED-5F96-4C8A-B972-B2ACDB20D036}"/>
    <hyperlink ref="F4" r:id="rId3" xr:uid="{6F10394D-C3B2-4A64-8143-D5C86C19BC50}"/>
    <hyperlink ref="F5" r:id="rId4" xr:uid="{5BF3C0C7-1CD3-4BD7-95DF-8C2C39A6909D}"/>
    <hyperlink ref="F6" r:id="rId5" xr:uid="{0B14D0FA-4DBD-41C3-AD4A-7EA09BA922FC}"/>
  </hyperlinks>
  <pageMargins left="0.7" right="0.7" top="0.75" bottom="0.75" header="0.3" footer="0.3"/>
  <pageSetup orientation="portrait" r:id="rId6"/>
  <legacyDrawing r:id="rId7"/>
</worksheet>
</file>

<file path=docMetadata/LabelInfo.xml><?xml version="1.0" encoding="utf-8"?>
<clbl:labelList xmlns:clbl="http://schemas.microsoft.com/office/2020/mipLabelMetadata">
  <clbl:label id="{aed08b9e-6013-4d94-8247-03aa66eb0c6a}" enabled="1" method="Standard" siteId="{d4d76e39-e33d-45e4-835c-f6f4f74b556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DC34_Cnet_Badge</vt:lpstr>
      <vt:lpstr>DC34_Cnet_SAO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Granat</dc:creator>
  <cp:lastModifiedBy>Jason Granat</cp:lastModifiedBy>
  <dcterms:created xsi:type="dcterms:W3CDTF">2015-06-05T18:17:20Z</dcterms:created>
  <dcterms:modified xsi:type="dcterms:W3CDTF">2026-01-27T17:50:16Z</dcterms:modified>
</cp:coreProperties>
</file>